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ÉEME" sheetId="1" r:id="rId5"/>
    <sheet state="visible" name="Tablero" sheetId="2" r:id="rId6"/>
    <sheet state="visible" name="Hallazgos consolidados" sheetId="3" r:id="rId7"/>
    <sheet state="visible" name="Comunicaciones (81)" sheetId="4" r:id="rId8"/>
    <sheet state="visible" name="WF estado real (96)" sheetId="5" r:id="rId9"/>
    <sheet state="visible" name="WF lógica (detalle API)" sheetId="6" r:id="rId10"/>
    <sheet state="visible" name="Verificación 31 propiedades" sheetId="7" r:id="rId11"/>
    <sheet state="visible" name="Auditoría API 17-jun" sheetId="8" r:id="rId12"/>
    <sheet state="visible" name="Acceso y config (API)" sheetId="9" r:id="rId13"/>
    <sheet state="visible" name="Resumen" sheetId="10" r:id="rId14"/>
    <sheet state="visible" name="Acciones TI · Daniel" sheetId="11" r:id="rId15"/>
  </sheets>
  <definedNames/>
  <calcPr/>
</workbook>
</file>

<file path=xl/sharedStrings.xml><?xml version="1.0" encoding="utf-8"?>
<sst xmlns="http://schemas.openxmlformats.org/spreadsheetml/2006/main" count="8287" uniqueCount="2577">
  <si>
    <t>MONIFIC × BNO — Matriz única de hallazgos (documento de trabajo)</t>
  </si>
  <si>
    <t>4 auditorías + dictamen de BNO + validación Monific (Raquel) + estado de TI (Daniel)</t>
  </si>
  <si>
    <t>Corte: 18-jun-2026 · Portal HubSpot 48427391 · 284 hallazgos de auditoría + 81 comunicaciones TO BE · Corte oficial: 251 abiertos = 217 exigibles a BNO (84 críticos, 87 altos, 37 medios, 9 bajos) + 2 controles informativos + 32 no exigidos.</t>
  </si>
  <si>
    <t>QUÉ ES ESTE ARCHIVO</t>
  </si>
  <si>
    <t xml:space="preserve">Una sola fuente de verdad para el cierre con BNO: reúne en la hoja «Hallazgos consolidados» todo lo detectado en las 4 auditorías, con qué dijo BNO, qué falta validar Monific y qué ya resolvió TI (Monific). </t>
  </si>
  <si>
    <t>FUENTES (columna «Origen»)</t>
  </si>
  <si>
    <r>
      <rPr>
        <rFont val="Arial"/>
        <b/>
        <color theme="1"/>
        <sz val="10.0"/>
      </rPr>
      <t>• 1ª Auditoría (+ dictamen BNO):</t>
    </r>
    <r>
      <rPr>
        <rFont val="Arial"/>
        <color theme="1"/>
        <sz val="10.0"/>
      </rPr>
      <t xml:space="preserve"> 112 hallazgos. Se usa la versión «</t>
    </r>
    <r>
      <rPr>
        <rFont val="Arial"/>
        <b/>
        <color theme="1"/>
        <sz val="10.0"/>
      </rPr>
      <t>Comentarios BNO</t>
    </r>
    <r>
      <rPr>
        <rFont val="Arial"/>
        <color theme="1"/>
        <sz val="10.0"/>
      </rPr>
      <t>» = la 1ª con la columna de dictamen de BNO llena.</t>
    </r>
  </si>
  <si>
    <r>
      <rPr>
        <rFont val="Arial"/>
        <b/>
        <color theme="1"/>
        <sz val="10.0"/>
      </rPr>
      <t>• 2ª Auditoría:</t>
    </r>
    <r>
      <rPr>
        <rFont val="Arial"/>
        <color theme="1"/>
        <sz val="10.0"/>
      </rPr>
      <t xml:space="preserve"> 109 registros de re-validación; donde aplica indica qué fila de la 1ª pasada actualiza.</t>
    </r>
  </si>
  <si>
    <r>
      <rPr>
        <rFont val="Arial"/>
        <b/>
        <color theme="1"/>
        <sz val="10.0"/>
      </rPr>
      <t>• 3ª Bitácora técnica:</t>
    </r>
    <r>
      <rPr>
        <rFont val="Arial"/>
        <color theme="1"/>
        <sz val="10.0"/>
      </rPr>
      <t xml:space="preserve"> 57 hallazgos APP-001 a APP-057 (API / propiedades / apps privadas).</t>
    </r>
  </si>
  <si>
    <r>
      <rPr>
        <rFont val="Arial"/>
        <b/>
        <color theme="1"/>
        <sz val="10.0"/>
      </rPr>
      <t>• 4ª Auditoría de Comunicaciones:</t>
    </r>
    <r>
      <rPr>
        <rFont val="Arial"/>
        <color theme="1"/>
        <sz val="10.0"/>
      </rPr>
      <t xml:space="preserve"> AS-IS van en «</t>
    </r>
    <r>
      <rPr>
        <rFont val="Arial"/>
        <b/>
        <color theme="1"/>
        <sz val="10.0"/>
      </rPr>
      <t>Hallazgos consolidados</t>
    </r>
    <r>
      <rPr>
        <rFont val="Arial"/>
        <color theme="1"/>
        <sz val="10.0"/>
      </rPr>
      <t>»; las 81 comunicaciones (0 implementadas) viven en su pestaña «</t>
    </r>
    <r>
      <rPr>
        <rFont val="Arial"/>
        <b/>
        <color theme="1"/>
        <sz val="10.0"/>
      </rPr>
      <t>Comunicaciones (81)</t>
    </r>
    <r>
      <rPr>
        <rFont val="Arial"/>
        <color theme="1"/>
        <sz val="10.0"/>
      </rPr>
      <t>».</t>
    </r>
  </si>
  <si>
    <r>
      <rPr>
        <rFont val="Arial"/>
        <color rgb="FF000000"/>
        <sz val="10.0"/>
      </rPr>
      <t xml:space="preserve">Evidencia </t>
    </r>
    <r>
      <rPr>
        <rFont val="Arial"/>
        <b/>
        <color rgb="FF000000"/>
        <sz val="10.0"/>
      </rPr>
      <t xml:space="preserve">Auditoría API HubSpot (17-jun-2026): </t>
    </r>
    <r>
      <rPr>
        <rFont val="Arial"/>
        <color rgb="FF000000"/>
        <sz val="10.0"/>
      </rPr>
      <t>Se realizó una extracción directamente desde HubSpot para documentar el estado real de la cuenta, sin depender de interpretaciones manuales ni de información declarada por BNO. La evidencia está concentrada en las pestañas «</t>
    </r>
    <r>
      <rPr>
        <rFont val="Arial"/>
        <b/>
        <color rgb="FF000000"/>
        <sz val="10.0"/>
      </rPr>
      <t>WF estado real (96)</t>
    </r>
    <r>
      <rPr>
        <rFont val="Arial"/>
        <color rgb="FF000000"/>
        <sz val="10.0"/>
      </rPr>
      <t>», «</t>
    </r>
    <r>
      <rPr>
        <rFont val="Arial"/>
        <b/>
        <color rgb="FF000000"/>
        <sz val="10.0"/>
      </rPr>
      <t>Verificación 31 propiedades</t>
    </r>
    <r>
      <rPr>
        <rFont val="Arial"/>
        <color rgb="FF000000"/>
        <sz val="10.0"/>
      </rPr>
      <t>», «</t>
    </r>
    <r>
      <rPr>
        <rFont val="Arial"/>
        <b/>
        <color rgb="FF000000"/>
        <sz val="10.0"/>
      </rPr>
      <t>Auditoría API 17-jun</t>
    </r>
    <r>
      <rPr>
        <rFont val="Arial"/>
        <color rgb="FF000000"/>
        <sz val="10.0"/>
      </rPr>
      <t>», «</t>
    </r>
    <r>
      <rPr>
        <rFont val="Arial"/>
        <b/>
        <color rgb="FF000000"/>
        <sz val="10.0"/>
      </rPr>
      <t>WF lógica (detalle API)</t>
    </r>
    <r>
      <rPr>
        <rFont val="Arial"/>
        <color rgb="FF000000"/>
        <sz val="10.0"/>
      </rPr>
      <t>» y «</t>
    </r>
    <r>
      <rPr>
        <rFont val="Arial"/>
        <b/>
        <color rgb="FF000000"/>
        <sz val="10.0"/>
      </rPr>
      <t>Acceso y config (API</t>
    </r>
    <r>
      <rPr>
        <rFont val="Arial"/>
        <color rgb="FF000000"/>
        <sz val="10.0"/>
      </rPr>
      <t>)».</t>
    </r>
    <r>
      <rPr>
        <rFont val="Arial"/>
        <color rgb="FF003A4C"/>
        <sz val="10.0"/>
      </rPr>
      <t xml:space="preserve">
</t>
    </r>
    <r>
      <rPr>
        <rFont val="Arial"/>
        <color rgb="FF000000"/>
        <sz val="10.0"/>
      </rPr>
      <t>Esta auditoría confirma, con datos obtenidos directamente por API, los siguientes puntos:</t>
    </r>
    <r>
      <rPr>
        <rFont val="Arial"/>
        <color rgb="FF003A4C"/>
        <sz val="10.0"/>
      </rPr>
      <t xml:space="preserve">
</t>
    </r>
    <r>
      <rPr>
        <rFont val="Arial"/>
        <b/>
        <color rgb="FF000000"/>
        <sz val="10.0"/>
      </rPr>
      <t>Workflows apagados:</t>
    </r>
    <r>
      <rPr>
        <rFont val="Arial"/>
        <color rgb="FF000000"/>
        <sz val="10.0"/>
      </rPr>
      <t xml:space="preserve"> se identificó el estado real de los 96 workflows existentes.
</t>
    </r>
    <r>
      <rPr>
        <rFont val="Arial"/>
        <b/>
        <color rgb="FF000000"/>
        <sz val="10.0"/>
      </rPr>
      <t xml:space="preserve">Propiedades no creadas por BNO: </t>
    </r>
    <r>
      <rPr>
        <rFont val="Arial"/>
        <color rgb="FF000000"/>
        <sz val="10.0"/>
      </rPr>
      <t xml:space="preserve">se verificó cuáles de las 31 propiedades comprometidas no existen en HubSpot.
</t>
    </r>
    <r>
      <rPr>
        <rFont val="Arial"/>
        <b/>
        <color rgb="FF000000"/>
        <sz val="10.0"/>
      </rPr>
      <t xml:space="preserve">Objeto de Cobranza inexistente: </t>
    </r>
    <r>
      <rPr>
        <rFont val="Arial"/>
        <color rgb="FF000000"/>
        <sz val="10.0"/>
      </rPr>
      <t xml:space="preserve">se confirmó que el objeto personalizado de Cobranza no fue creado.
</t>
    </r>
    <r>
      <rPr>
        <rFont val="Arial"/>
        <b/>
        <color rgb="FF000000"/>
        <sz val="10.0"/>
      </rPr>
      <t xml:space="preserve">Accesos activos no regularizados: </t>
    </r>
    <r>
      <rPr>
        <rFont val="Arial"/>
        <color rgb="FF000000"/>
        <sz val="10.0"/>
      </rPr>
      <t xml:space="preserve">aún existen usuarios de BNO y usuarios externos con acceso a la cuenta.
</t>
    </r>
    <r>
      <rPr>
        <rFont val="Arial"/>
        <b/>
        <color rgb="FF000000"/>
        <sz val="10.0"/>
      </rPr>
      <t>Lógica interna auditada:</t>
    </r>
    <r>
      <rPr>
        <rFont val="Arial"/>
        <color rgb="FF000000"/>
        <sz val="10.0"/>
      </rPr>
      <t xml:space="preserve"> además del estado general, se revisó la lógica interna de los 96 workflows, con un total de 4,848 nodos verificados.</t>
    </r>
    <r>
      <rPr>
        <rFont val="Arial"/>
        <color rgb="FF003A4C"/>
        <sz val="10.0"/>
      </rPr>
      <t xml:space="preserve">
</t>
    </r>
  </si>
  <si>
    <t>COLUMNAS DE CONTROL</t>
  </si>
  <si>
    <r>
      <rPr>
        <rFont val="Arial"/>
        <color theme="1"/>
        <sz val="10.0"/>
      </rPr>
      <t xml:space="preserve">• </t>
    </r>
    <r>
      <rPr>
        <rFont val="Arial"/>
        <b/>
        <color theme="1"/>
        <sz val="10.0"/>
      </rPr>
      <t>Dictamen / Comentario de BNO:</t>
    </r>
    <r>
      <rPr>
        <rFont val="Arial"/>
        <color theme="1"/>
        <sz val="10.0"/>
      </rPr>
      <t xml:space="preserve"> lo que BNO escribió. «Validado por BNO…» = reconocimiento por escrito.</t>
    </r>
  </si>
  <si>
    <r>
      <rPr>
        <rFont val="Arial"/>
        <color theme="1"/>
        <sz val="10.0"/>
      </rPr>
      <t xml:space="preserve">• </t>
    </r>
    <r>
      <rPr>
        <rFont val="Arial"/>
        <b/>
        <color theme="1"/>
        <sz val="10.0"/>
      </rPr>
      <t>Validación Monific (Raquel):</t>
    </r>
    <r>
      <rPr>
        <rFont val="Arial"/>
        <color theme="1"/>
        <sz val="10.0"/>
      </rPr>
      <t xml:space="preserve">  (menú: Por validar / Aceptado / Rechazado / Falta evidencia). Aquí confirmamos si lo de BNO es real.</t>
    </r>
  </si>
  <si>
    <r>
      <rPr>
        <rFont val="Arial"/>
        <b/>
        <color theme="1"/>
        <sz val="10.0"/>
      </rPr>
      <t>• Resuelto por TI (Monific):</t>
    </r>
    <r>
      <rPr>
        <rFont val="Arial"/>
        <color theme="1"/>
        <sz val="10.0"/>
      </rPr>
      <t xml:space="preserve"> Sí – (hecho) / Pendiente TI / Condicionado a BNO / No aplica. Mapea los 12 puntos P0/P1 de TI (ver pestaña «Acciones TI · Daniel»).</t>
    </r>
  </si>
  <si>
    <t>• Quién debe actuar (norm.): responsable agrupado para filtrar rápido.</t>
  </si>
  <si>
    <t>LECTURA RÁPIDA (lo exigible a BNO)</t>
  </si>
  <si>
    <t>Filtra: «Quién debe actuar» = BNO o Compartido + Estado Abierto/Pendiente + «Resuelto por TI» distinto de «Sí». Eso es el núcleo del requerimiento a BNO.</t>
  </si>
  <si>
    <r>
      <rPr>
        <rFont val="Arial"/>
        <b/>
        <color rgb="FF003A4C"/>
        <sz val="11.0"/>
      </rPr>
      <t>CONTENIDO QUE VIVE EN ANEXOS (</t>
    </r>
    <r>
      <rPr>
        <rFont val="Arial"/>
        <b/>
        <color rgb="FFFF0000"/>
        <sz val="11.0"/>
      </rPr>
      <t>NO en este archivo</t>
    </r>
    <r>
      <rPr>
        <rFont val="Arial"/>
        <b/>
        <color rgb="FF003A4C"/>
        <sz val="11.0"/>
      </rPr>
      <t>) — léelo, BNO</t>
    </r>
  </si>
  <si>
    <t>Este archivo es el CONTROL y la EVIDENCIA. El contenido para copiar/pegar e implementar vive en estos anexos, que forman parte del paquete:</t>
  </si>
  <si>
    <r>
      <rPr>
        <rFont val="Arial"/>
        <b/>
        <color rgb="FF000000"/>
        <sz val="9.0"/>
      </rPr>
      <t>• Textos y plantillas para PEGAR</t>
    </r>
    <r>
      <rPr>
        <rFont val="Arial"/>
        <color rgb="FF000000"/>
        <sz val="9.0"/>
      </rPr>
      <t xml:space="preserve"> de las 81 comunicaciones (asunto, cuerpo, tokens) → documento «</t>
    </r>
    <r>
      <rPr>
        <rFont val="Arial"/>
        <color rgb="FF1155CC"/>
        <sz val="9.0"/>
        <u/>
      </rPr>
      <t>Matriz completa de comunicación</t>
    </r>
    <r>
      <rPr>
        <rFont val="Arial"/>
        <color rgb="FF000000"/>
        <sz val="9.0"/>
      </rPr>
      <t>», Parte II «Biblioteca de plantillas y textos». La pestaña «Comunicaciones (81)» es el control; el copy vive ahí.</t>
    </r>
  </si>
  <si>
    <r>
      <rPr>
        <rFont val="Arial"/>
        <b/>
        <color rgb="FF000000"/>
        <sz val="9.0"/>
      </rPr>
      <t>• Formulario NUEVO de solicitantes</t>
    </r>
    <r>
      <rPr>
        <rFont val="Arial"/>
        <color rgb="FF000000"/>
        <sz val="9.0"/>
      </rPr>
      <t xml:space="preserve"> + árbol de decisiones + SLAs → documento «</t>
    </r>
    <r>
      <rPr>
        <rFont val="Arial"/>
        <color rgb="FF1155CC"/>
        <sz val="9.0"/>
        <u/>
      </rPr>
      <t>Entregables del 26 de enero</t>
    </r>
    <r>
      <rPr>
        <rFont val="Arial"/>
        <color rgb="FF000000"/>
        <sz val="9.0"/>
      </rPr>
      <t>».</t>
    </r>
  </si>
  <si>
    <r>
      <rPr>
        <rFont val="Arial"/>
        <b/>
        <color rgb="FF000000"/>
        <sz val="9.0"/>
      </rPr>
      <t>• Datos de la auditoría por API</t>
    </r>
    <r>
      <rPr>
        <rFont val="Arial"/>
        <color rgb="FF000000"/>
        <sz val="9.0"/>
      </rPr>
      <t xml:space="preserve"> (4,848 nodos de workflows, 2,142 propiedades, correos, usuarios) → </t>
    </r>
    <r>
      <rPr>
        <rFont val="Arial"/>
        <color rgb="FF1155CC"/>
        <sz val="9.0"/>
        <u/>
      </rPr>
      <t>Excel de extracción</t>
    </r>
    <r>
      <rPr>
        <rFont val="Arial"/>
        <color rgb="FF000000"/>
        <sz val="9.0"/>
      </rPr>
      <t>. Aquí está el análisis.</t>
    </r>
  </si>
  <si>
    <t>Regla para BNO: si no encuentras el texto/insumo de algo en este archivo, está en el anexo indicado arriba. No hay nada en las auditorías viejas que no esté reflejado aquí o señalado como anexo.</t>
  </si>
  <si>
    <t>Aclaración de autoría: los masters de implementación y los flujogramas yson entregables de BNO derivados del discovery contratado (Add-On Mapeo de Procesos), NO insumos de Monific. Monific solo participó, revisó, autorizó y corrigió; su elaboración y depuración son responsabilidad de BNO.</t>
  </si>
  <si>
    <t>MONIFIC × BNO — Tablero de cierre (en vivo)</t>
  </si>
  <si>
    <t>Se actualiza solo conforme marcas la validación y cambian los estatus de TI y de comunicaciones.</t>
  </si>
  <si>
    <t>Indicador</t>
  </si>
  <si>
    <t>Avance</t>
  </si>
  <si>
    <t>%</t>
  </si>
  <si>
    <t>Barra</t>
  </si>
  <si>
    <t>Hallazgos en seguimiento — abiertos (en vivo)</t>
  </si>
  <si>
    <t>Hallazgos resueltos o validados</t>
  </si>
  <si>
    <t>Defectos que BNO reconoció y siguen abiertos</t>
  </si>
  <si>
    <t>Acciones de TI (Daniel) cerradas</t>
  </si>
  <si>
    <t>Comunicaciones construidas (de 81)</t>
  </si>
  <si>
    <t>Contexto (no es %)</t>
  </si>
  <si>
    <t>Valor</t>
  </si>
  <si>
    <t>Pendientes exigibles a BNO (corte del requerimiento)</t>
  </si>
  <si>
    <t>— de ellos, críticos exigibles a BNO</t>
  </si>
  <si>
    <t>Total hallazgos / comunicaciones</t>
  </si>
  <si>
    <t>Conciliación del corte oficial: 284 = 18 resueltos + 15 descartados + 251 abiertos. Los 251 abiertos = 217 exigibles a BNO + 2 controles informativos (CON-216/217) + 32 no exigidos directamente a BNO. Críticos exigibles a BNO: 84 (87 altos, 37 medios, 9 bajos). Las barras de arriba son seguimiento operativo en vivo y pueden variar mientras Raquel valida cada fila.</t>
  </si>
  <si>
    <t>Qué estado de validación mueve qué (para que sepas el efecto al cambiar una fila):</t>
  </si>
  <si>
    <t>• Suma a «Siguen mal / abiertos»:  Sigue mal (abierto), Sigue mal — BNO reconoció que aplica, Sigue mal — verificado por API, BNO documentó resuelto pero sigue mal, Bloqueado — pendiente decisión Monific, En curso (BNO), Pendiente — BNO debe definir, Pendiente — TI Monific</t>
  </si>
  <si>
    <t>• Suma a «Resueltos / validados»:  Validado (resuelto), Resuelto (con pendiente menor), Resuelto pendiente de confirmar, Resuelto por TI Monific (Daniel)</t>
  </si>
  <si>
    <t>• Neutrales (no mueven ninguna barra):  Descartado por acuerdo de alcance (revisar), No aplica / informativo, Sin evidencia objetiva — revisar</t>
  </si>
  <si>
    <t>Cómo leerlo: las barras y % suben solos al cambiar la columna «Validación Monific (Raquel)» o los estatus. Edita en Excel o Google Sheets (no en PDF).</t>
  </si>
  <si>
    <t>Estado real en HubSpot (API · 17-jun-2026) — snapshot, no cambia solo</t>
  </si>
  <si>
    <t>Workflows activos (ON) en HubSpot</t>
  </si>
  <si>
    <t>Propiedades de las 31 de BNO creadas</t>
  </si>
  <si>
    <t>Workflows que comunican al cliente (de 96)</t>
  </si>
  <si>
    <t>ID</t>
  </si>
  <si>
    <t>Origen</t>
  </si>
  <si>
    <t>ID origen</t>
  </si>
  <si>
    <t>Tipo de registro</t>
  </si>
  <si>
    <t>Proceso / Pipeline</t>
  </si>
  <si>
    <t>WF</t>
  </si>
  <si>
    <t>Hallazgo</t>
  </si>
  <si>
    <t>Severidad (orig.)</t>
  </si>
  <si>
    <t>Prioridad (norm.)</t>
  </si>
  <si>
    <t>Estado (según auditoría)</t>
  </si>
  <si>
    <t>Responsable (según auditoría)</t>
  </si>
  <si>
    <t>Quién debe actuar (norm.)</t>
  </si>
  <si>
    <t>Dictamen / Comentario de BNO</t>
  </si>
  <si>
    <t>Validación Monific (Raquel)</t>
  </si>
  <si>
    <t>Resuelto por TI (Daniel)</t>
  </si>
  <si>
    <t>Ref. punto TI</t>
  </si>
  <si>
    <t>Acción correctiva / propuesta</t>
  </si>
  <si>
    <t>Evidencia</t>
  </si>
  <si>
    <t>Notas / vínculo</t>
  </si>
  <si>
    <t>Sustento de validación</t>
  </si>
  <si>
    <t>Fecha detección (auditoría)</t>
  </si>
  <si>
    <t>Fecha validación Monific</t>
  </si>
  <si>
    <t>Exigible BNO (canónico)</t>
  </si>
  <si>
    <t>CON-001</t>
  </si>
  <si>
    <t>1ª Auditoría (+ dictamen BNO)</t>
  </si>
  <si>
    <t>WF-001 · f1</t>
  </si>
  <si>
    <t>Hallazgo base</t>
  </si>
  <si>
    <t>WF-001</t>
  </si>
  <si>
    <t>La carpeta Drive del solicitante se crea 100% manual por el asesor. La integración HubSpot↔Drive (marzo 2026) no se está usando, así que se pierde la automatización.</t>
  </si>
  <si>
    <t>Alto</t>
  </si>
  <si>
    <t>Abierto</t>
  </si>
  <si>
    <t>BNO – Implementación</t>
  </si>
  <si>
    <t>BNO</t>
  </si>
  <si>
    <t>Sesión 19-may NO aplicado: la integración nativa no replica plantillas con estructura. Solución: Apps Script externo. Reasignado a BNO/Tech Monific.</t>
  </si>
  <si>
    <t>BNO documentó resuelto pero sigue mal</t>
  </si>
  <si>
    <t>No aplica</t>
  </si>
  <si>
    <t>Ver posibilidad de usar la acción nativa 'Crear carpeta' de la integración, o un webhook a Apps Script, para que la carpeta se cree sola con nomenclatura estándar, permisos por rol y URL persistida en el Negocio. La tarea al asesor debería ser solo enviar el link.</t>
  </si>
  <si>
    <t>Master de Implementación_ Proceso Comercial - Monific</t>
  </si>
  <si>
    <t>BNO documentó acción pero quedó NO aplicado; auditoría: Abierto</t>
  </si>
  <si>
    <t>2026-05-18</t>
  </si>
  <si>
    <t>Sí</t>
  </si>
  <si>
    <t>CON-002</t>
  </si>
  <si>
    <t>WF-001 · f2</t>
  </si>
  <si>
    <t>La tarea creada al asesor tenía vencimiento a 5 días laborables y recordatorio al día 3, pero NO había paso de escalamiento si la tarea no se completaba.</t>
  </si>
  <si>
    <t>Resuelto</t>
  </si>
  <si>
    <t>APLICADO: se agregaron al WF-001 las acciones de retraso 6 días laborables + ramificación 'Estado de tarea ≠ Terminada' + email de escalamiento a Karen Gómez. Sin reasignación de ownership porque Karen</t>
  </si>
  <si>
    <t>Validado (resuelto)</t>
  </si>
  <si>
    <t>Crear WF de escalamiento que detecte la tarea vencida al día 5+1 y notifique al superior (Karen) por email, además de reasignar la tarea.</t>
  </si>
  <si>
    <t>Auditoría: Resuelto y aplicado</t>
  </si>
  <si>
    <t>No</t>
  </si>
  <si>
    <t>CON-003</t>
  </si>
  <si>
    <t>WF-001 · f3</t>
  </si>
  <si>
    <t>Los vencimientos y recordatorios de tareas se calculaban en UTC-04, pero Monific opera en CDMX (UTC-06). Resultado: las tareas se disparaban con 2 horas de desfase respecto al día laboral mexicano.</t>
  </si>
  <si>
    <t>Medio</t>
  </si>
  <si>
    <t>BNO – Arquitectura</t>
  </si>
  <si>
    <t>APLICADO. Zona horaria cambiada a UTC-06 CDMX y persistida tras recarga. Pendiente: BNO revisar WFs Solicitantes que leen horarios fijos.</t>
  </si>
  <si>
    <t>Resuelto (con pendiente menor)</t>
  </si>
  <si>
    <t>Cambiar zona horaria de la cuenta HubSpot a America/Mexico_City (UTC-06). Validar que todos los WFs que leen '8:00' o '9:00' sigan teniendo sentido en CDMX.</t>
  </si>
  <si>
    <t>Auditoría: Resuelto, con pendiente menor en el dictamen</t>
  </si>
  <si>
    <t>CON-004</t>
  </si>
  <si>
    <t>WF-002 · f4</t>
  </si>
  <si>
    <t>WF-002</t>
  </si>
  <si>
    <t>El WF mueve el negocio de Nuevo a Evaluación sin dejar registro de quién/cuándo.</t>
  </si>
  <si>
    <t>Descartado</t>
  </si>
  <si>
    <t>Monific – Raquel</t>
  </si>
  <si>
    <t>Monific – negocio (Raquel)</t>
  </si>
  <si>
    <t>Validado por BNO. Se mantiene descartado para MVP por decisión de alcance. Aunque la trazabilidad es recomendable, Monific decidió no incorporarlo en esta etapa.</t>
  </si>
  <si>
    <t>Descartado por acuerdo de alcance (revisar)</t>
  </si>
  <si>
    <t>Agregar acciones que escriban 'Fecha de entrada a Evaluación' y 'Origen del cambio = Automático WF-002' antes del cambio de etapa.</t>
  </si>
  <si>
    <t>Auditoría: Descartado (decisión de alcance/MVP) — revisar si Monific lo acepta</t>
  </si>
  <si>
    <t>CON-005</t>
  </si>
  <si>
    <t>WF-002 · f5</t>
  </si>
  <si>
    <t>Reinscripción apagada. Si un solicitante fue rechazado y se devuelve a Nuevo para retrabajo, al volver a tener documentación completa NO se mueve automáticamente a Evaluación, queda atorado y obliga al asesor a moverlo a mano.</t>
  </si>
  <si>
    <t>Bloqueado</t>
  </si>
  <si>
    <t>Validado por BNO. Se mantiene bloqueado/pendiente de decisión Comercial. Si Monific decide automatizar reingresos a Nuevo, se debe activar reinscripción con condiciones acotadas para evitar movimientos duplicados.</t>
  </si>
  <si>
    <t>Bloqueado — pendiente decisión Monific</t>
  </si>
  <si>
    <t>Decidir con Comercial si se quiere reinscripción automática al re-entrar a Nuevo con documentación completa. Si sí, activar reinscripción.</t>
  </si>
  <si>
    <t>Auditoría: Bloqueado; BNO lo dejó a decisión de Monific</t>
  </si>
  <si>
    <t>CON-006</t>
  </si>
  <si>
    <t>WF-003 · f6</t>
  </si>
  <si>
    <t>WF-003</t>
  </si>
  <si>
    <t>Cuando un solicitante entra a Nuevo con documentación ya completa, WF-002 y WF-003 se disparan en paralelo: uno lo mueve a Evaluación, el otro lo pone En pausa y lo inscribe en secuencia. Resultado: estado inconsistente.</t>
  </si>
  <si>
    <t>Validado por BNO. El hallazgo aplica: WF-002 y WF-003 deben quedar mutuamente excluyentes para evitar estados inconsistentes. Ajustar condición de WF-003 para excluir documentación completa y probar caso de ingreso con documentación completa.</t>
  </si>
  <si>
    <t>Sigue mal — BNO reconoció que aplica</t>
  </si>
  <si>
    <t>Agregar al WF-003 la condición 'Estatus de documentación NO es Completa' para que ambos WFs sean mutuamente excluyentes.</t>
  </si>
  <si>
    <t>Auditoría: Abierto; BNO validó por escrito que el hallazgo APLICA</t>
  </si>
  <si>
    <t>CON-007</t>
  </si>
  <si>
    <t>WF-003 · f7</t>
  </si>
  <si>
    <t>El WF marca la bandera 'Inscribir en secuencia +15 días' sobre TODOS los contactos asociados al negocio. Si el negocio tiene varios contactos (solicitante + asesor interno + apoderado), todos reciben la secuencia diseñada para el solicitante.</t>
  </si>
  <si>
    <t>Validado por BNO. Aplica como ajuste de seguridad operativa. Se debe filtrar la actualización de bandera solo al rol de contacto correspondiente y excluir contactos internos antes de activar/usar la secuencia.</t>
  </si>
  <si>
    <t>Filtrar por rol = 'Solicitante principal' antes de actualizar la propiedad. Validar que la secuencia también excluya dominios internos @monific.com.</t>
  </si>
  <si>
    <t>CON-008</t>
  </si>
  <si>
    <t>WF-003 · f8</t>
  </si>
  <si>
    <t>Reinscripción apagada. Si un negocio retrocede a Nuevo (después de un rechazo temporal), no se re-pausa documentación ni se re-inscribe al contacto. Hay que ejecutar el ciclo a mano.</t>
  </si>
  <si>
    <t>Validado por BNO. Se descarta para MVP por volumen actual y baja frecuencia esperada del caso. Mantener como mejora futura si aumentan reingresos o retrabajos en etapa Nuevo.</t>
  </si>
  <si>
    <t>Decidir con Comercial si re-procesar automáticamente al retroceso de etapa. Si sí, activar reinscripción.</t>
  </si>
  <si>
    <t>CON-009</t>
  </si>
  <si>
    <t>WF-004 · f9</t>
  </si>
  <si>
    <t>WF-004</t>
  </si>
  <si>
    <t>El WF está APAGADO. WF-003 marca la bandera para inscribir en secuencia de +15 días, pero como WF-004 está apagado, nadie ejecuta la inscripción. El ciclo de seguimiento al solicitante a 15 días queda roto.</t>
  </si>
  <si>
    <t>En curso</t>
  </si>
  <si>
    <t>BNO + Monific</t>
  </si>
  <si>
    <t>Compartido (BNO + Monific)</t>
  </si>
  <si>
    <t>Validado por BNO. En curso. La plantilla ya fue trabajada; queda pendiente validar aprobación final de contenido/remitente y activar WF-004 solo después de una prueba punta a punta con contacto de prueba.</t>
  </si>
  <si>
    <t>En curso (BNO)</t>
  </si>
  <si>
    <t>Validar contenido del correo de la secuencia con Marketing/Comercial (asunto, body, opt-out, footer legal CNBV). Una vez aprobado, activar WF-004.</t>
  </si>
  <si>
    <t>Auditoría/BNO: en curso, sin entregar</t>
  </si>
  <si>
    <t>CON-010</t>
  </si>
  <si>
    <t>WF-004 · f10</t>
  </si>
  <si>
    <t>El nombre del WF en HubSpot es '...+15 días | V1' pero el master lo registra como 'Enviar secuencia desde contacto' (sin '+15 días'). Mismo tipo de desincronización en WF-021. Genera confusión</t>
  </si>
  <si>
    <t>Validado por BNO. Aplica como limpieza de gobierno del proyecto. Se recomienda homologar el nombre del WF entre HubSpot y master para evitar confusión en soporte, auditoría y capacitación.</t>
  </si>
  <si>
    <t>Decidir nomenclatura oficial y sincronizar. Recomendado: usar el nombre de HubSpot como fuente única y actualizar el master.</t>
  </si>
  <si>
    <t>CON-011</t>
  </si>
  <si>
    <t>WF-004 · f11</t>
  </si>
  <si>
    <t>La inscripción a la secuencia se hace en nombre del 'Propietario del contacto'. Si el contacto no tiene propietario (caso común cuando entra por formulario), la inscripción falla.</t>
  </si>
  <si>
    <t>Validado por BNO. Aplica parcialmente: la lógica de inscripción es correcta, pero requiere fallback de propietario/remitente. Definir si el remitente estándar será solicitantes@monific.com y ajustar antes de activar.</t>
  </si>
  <si>
    <t>Agregar paso previo: si Propietario está vacío, asignar a solicitantes@monific.com (buzón compartido) y luego inscribir.</t>
  </si>
  <si>
    <t>CON-012</t>
  </si>
  <si>
    <t>WF-005 · f12</t>
  </si>
  <si>
    <t>WF-005</t>
  </si>
  <si>
    <t>WF-002, WF-003 y WF-005 disparan todos en la misma etapa Nuevo. WF-003 y WF-005 se ejecutan en paralelo y setean banderas para secuencias distintas (+15d y +2d) sobre los mismos contactos → posible doble correo al solicitante.</t>
  </si>
  <si>
    <t>Validado por BNO. Aplica como conflicto de diseño. Recomendamos consolidar el seguimiento de documentación en una sola lógica con delays internos o segmentar por antigüedad del negocio para evitar doble contacto.</t>
  </si>
  <si>
    <t>Diferenciar con condiciones temporales: WF-005 con 'Negocio creado hace &lt;2 días' y WF-003 con 'Negocio creado hace &gt;=14 días'. O consolidar ambos en un solo WF con delays internos.</t>
  </si>
  <si>
    <t>CON-013</t>
  </si>
  <si>
    <t>WF-005 · f13</t>
  </si>
  <si>
    <t>La bandera +2 días que setea WF-005 dispara al WF-007, que está APAGADO. Igual que el ciclo +15d: la bandera se setea pero nadie envía la secuencia. El ciclo +2 días queda roto.</t>
  </si>
  <si>
    <t>Validado por BNO. En curso. La plantilla ya fue trabajada; queda pendiente activar WF-007 cuando contenido, remitente y destinatario estén aprobados, y probar que la bandera +2 días detone correctamente el envío.</t>
  </si>
  <si>
    <t>Validar contenido del correo y activar WF-007</t>
  </si>
  <si>
    <t>CON-014</t>
  </si>
  <si>
    <t>WF-005 · f14</t>
  </si>
  <si>
    <t>Mismo problema la bandera se setea sobre TODOS los contactos asociados, sin filtrar por rol.</t>
  </si>
  <si>
    <t>Validado por BNO. Aplica el mismo criterio que WF-003: cualquier acción sobre contactos asociados debe filtrar por rol y excluir contactos internos para evitar comunicaciones no deseadas.</t>
  </si>
  <si>
    <t>Agregar filtro de rol 'Solicitante principal' antes de editar la propiedad.</t>
  </si>
  <si>
    <t>CON-015</t>
  </si>
  <si>
    <t>WF-006 · f15</t>
  </si>
  <si>
    <t>WF-006</t>
  </si>
  <si>
    <t>El WF crea la tarea 'Llamar al solicitante' a TODOS los negocios en etapa Nuevo, incluyendo los que ya tienen documentación Completa (que deberían pasar a Evaluación vía WF-002, no recibir tarea de llamada). Carga operativa innecesaria al asesor.</t>
  </si>
  <si>
    <t>Validado por BNO. Aplica. El WF debe ejecutarse solo cuando la documentación no esté completa; si ya está completa, el flujo correcto es avance a Evaluación y no creación de tarea de llamada.</t>
  </si>
  <si>
    <t>Agregar al trigger la condición 'Estatus de documentación NO es Completa' para que solo se ejecute en casos que realmente requieren intervención.</t>
  </si>
  <si>
    <t>CON-016</t>
  </si>
  <si>
    <t>WF-006 · f16</t>
  </si>
  <si>
    <t>Las tareas creadas no tienen SLA ni recordatorios configurados. Si no se completan, no hay escalamiento</t>
  </si>
  <si>
    <t>Validado por BNO. Aplica como estandarización operativa. Las tareas automáticas deben incluir vencimiento, recordatorio y escalamiento para que no dependan de seguimiento manual.</t>
  </si>
  <si>
    <t>Configurar en cada tarea: vencimiento 5 días laborables + recordatorio día 3 + escalamiento (alineado con minuta abril 2026).</t>
  </si>
  <si>
    <t>CON-017</t>
  </si>
  <si>
    <t>WF-006 · f17</t>
  </si>
  <si>
    <t>Reinscripción apagada. Patrón común en todos los WFs de Nuevo. Si un negocio retrocede a Nuevo, las tareas internas no se re-crean.</t>
  </si>
  <si>
    <t>Bajo</t>
  </si>
  <si>
    <t>Validado por BNO. Se sugiere dejarlo como mejora futura/MVP+ salvo que Monific confirme reingresos frecuentes a Nuevo. Si se activa, debe tener condición clara para evitar duplicar tareas.</t>
  </si>
  <si>
    <t>Recomendado: activar reinscripción con condición 'Etapa cambió a Nuevo solicitante'.</t>
  </si>
  <si>
    <t>CON-018</t>
  </si>
  <si>
    <t>WF-007 · f18</t>
  </si>
  <si>
    <t>WF-007</t>
  </si>
  <si>
    <t>WF-007 está APAGADO. WF-005 setea la bandera +2 días pero como nadie la lee, los solicitantes con documentación pendiente no reciben el primer recordatorio.</t>
  </si>
  <si>
    <t>Validado por BNO. Aplica. El WF debe permanecer bloqueado hasta validar contenido, remitente y cumplimiento legal del correo. Una vez aprobado, activar y probar el encadenamiento WF-005 -&gt; WF-007.</t>
  </si>
  <si>
    <t>Validar contenido del correo (asunto, body, opt-out, footer CNBV, remitente solicitantes@monific.com según master). Activar WF-007.</t>
  </si>
  <si>
    <t>CON-019</t>
  </si>
  <si>
    <t>WF-007 · f19</t>
  </si>
  <si>
    <t>El master explicita que la secuencia debe salir desde solicitantes@monific.com. No se ha validado que el WF/secuencia esté configurado así, puede estar saliendo desde el propietario del contacto en lugar del buzón compartido.</t>
  </si>
  <si>
    <t>Validado por BNO. Aplica. Forzar remitente solicitantes@monific.com si ese es el buzón operativo definido por Monific; validar autenticación de dominio y permisos antes de activar.</t>
  </si>
  <si>
    <t>Validar y forzar From = solicitantes@monific.com en la secuencia. Configurar SPF/DKIM para ese dominio. Auditar lo mismo en WF-004.</t>
  </si>
  <si>
    <t>CON-020</t>
  </si>
  <si>
    <t>WF-007 · f20</t>
  </si>
  <si>
    <t>No se auditó a profundidad. Aplica mismo patrón que WF-004 (propietario del contacto vacío, nomenclatura, validación de correos).</t>
  </si>
  <si>
    <t>Validado por BNO. Aplica como revisión espejo de WF-004. Antes de cierre se debe validar propietario/remitente, nomenclatura, plantilla y prueba real de inscripción.</t>
  </si>
  <si>
    <t>Aplicar las mismas recomendaciones de WF-004</t>
  </si>
  <si>
    <t>CON-021</t>
  </si>
  <si>
    <t>WF-008 · f21</t>
  </si>
  <si>
    <t>WF-008</t>
  </si>
  <si>
    <t>Reinscripción apagada. Si el comité aprueba al solicitante DESPUÉS de que entró a Evaluación (el caso normal), el WF nunca dispara y el negocio se queda atorado. El cruce Evaluación→Formalización del proceso comercial central queda roto.</t>
  </si>
  <si>
    <t>Crítico</t>
  </si>
  <si>
    <t>Validado por BNO. Aplica y es crítico. Re-arquitectar el trigger para que responda al cambio de Decisión a Aprobado, no solo al estado actual. Probar caso donde la decisión se captura después de entrar a Evaluación.</t>
  </si>
  <si>
    <t>Activar reinscripción con condición 'Decisión = Aprobado'. Probar en sandbox con dos casos: uno con Decisión al ingresar y otro que la recibe después.</t>
  </si>
  <si>
    <t>CON-022</t>
  </si>
  <si>
    <t>WF-008 · f22</t>
  </si>
  <si>
    <t>Al mover a Formalización no se registra 'Fecha cambio etapa a Formalización' ni 'Origen del cambio = WF-008 automático'. Sin esto no se puede auditar quién/qué movió cada negocio entre etapas.</t>
  </si>
  <si>
    <t>Validado por BNO. Aplica como trazabilidad necesaria. Agregar fecha de cambio, origen WF-008 y responsable/automatización antes de mover a Formalización. Replicar patrón en cambios de etapa críticos.</t>
  </si>
  <si>
    <t>Agregar acciones de Editar registro que escriban fecha de cambio y origen. Replicar en todos los WFs de cambio de etapa (WF-002, WF-009, WF-015, WF-018, WF-022).</t>
  </si>
  <si>
    <t>CON-023</t>
  </si>
  <si>
    <t>WF-008 · f23</t>
  </si>
  <si>
    <t>Al pasar a Formalización no se notifica a nadie (ni al asesor, ni al solicitante, ni al equipo de Formalización). WF-016 debería disparar, pero hay que verificar el encadenamiento.</t>
  </si>
  <si>
    <t>Validado por BNO. Aplica parcialmente. Confirmar que WF-016 se detona correctamente después del cambio; si no, agregar notificación explícita o consolidar el aviso dentro del flujo de avance a Formalización.</t>
  </si>
  <si>
    <t>Confirmar que WF-016 efectivamente dispara cuando WF-008 cambia etapa. Email al solicitante avisando que su solicitud avanza a Formalización.</t>
  </si>
  <si>
    <t>CON-024</t>
  </si>
  <si>
    <t>WF-009 · f24</t>
  </si>
  <si>
    <t>WF-009</t>
  </si>
  <si>
    <t>Mismo problema pero para rechazos. Si el comité rechaza DESPUÉS de la entrada a Evaluación (caso normal), el WF nunca dispara y el negocio se queda atorado en Evaluación en lugar de pasar a Cierre Perdido.</t>
  </si>
  <si>
    <t>Validado por BNO. Aplica y es crítico. Re-arquitectar el trigger por cambio de Decisión a Rechazado para evitar que solicitudes rechazadas queden atoradas en Evaluación.</t>
  </si>
  <si>
    <t>Activar reinscripción con condición 'Decisión = Rechazado'. Probar el escenario real.</t>
  </si>
  <si>
    <t>CON-025</t>
  </si>
  <si>
    <t>WF-009 · f25</t>
  </si>
  <si>
    <t>Cierra a Perdido sin trazabilidad (fecha + origen) y sin setear motivo de pérdida. Cerrar una solicitud como perdida sin motivo registrado es problema regulatorio Ley Fintech — no se puede acreditar el porqué del rechazo si CNBV lo pide.</t>
  </si>
  <si>
    <t>Validado por BNO. Aplica por trazabilidad y compliance. Antes de cerrar como perdido debe registrarse fecha, origen, motivo de pérdida y decisión del comité; coordinar con WF-024 para evitar duplicidad.</t>
  </si>
  <si>
    <t>Agregar acciones que setean Fecha cambio etapa, Origen, y Razón de cierre = 'Decisión de comité: Rechazado'. Vincular con WF-024 para no duplicar.</t>
  </si>
  <si>
    <t>CON-026</t>
  </si>
  <si>
    <t>WF-010 · f26</t>
  </si>
  <si>
    <t>WF-010</t>
  </si>
  <si>
    <t>La acción 4 'Notificación al DG' se envía a TODOS los contactos asociados al negocio. Esto incluye al solicitante, recibiría un correo interno destinado al DG. Filtración de comunicación interna al cliente.</t>
  </si>
  <si>
    <t>Validado por BNO. Aplica y debe corregirse antes de producción. Las notificaciones internas no deben enviarse a todos los contactos asociados; usar destinatario fijo/rol interno o propiedad de responsable.</t>
  </si>
  <si>
    <t>Cambiar destinatario a contacto/rol específico (DG por email o por rol). NO usar 'Todos los contactos asociados'.</t>
  </si>
  <si>
    <t>CON-027</t>
  </si>
  <si>
    <t>WF-010 · f27</t>
  </si>
  <si>
    <t>Acción 1 solo manda correo a Legal, pero acción 2 marca Áreas notificadas = Jurídica + Técnica + Financiera. Resultado: Técnica y Financiera no se enteran</t>
  </si>
  <si>
    <t>Validado por BNO. Aplica. Si el campo marca Jurídica, Técnica y Financiera como notificadas, el WF debe notificar efectivamente a esas áreas o ajustar el campo a lo realmente enviado.</t>
  </si>
  <si>
    <t>Mandar correos paralelos a Técnica y Financiera (3 acciones de Enviar correo) o usar lista de distribución.</t>
  </si>
  <si>
    <t>CON-028</t>
  </si>
  <si>
    <t>WF-011 · f28</t>
  </si>
  <si>
    <t>WF-011</t>
  </si>
  <si>
    <t>La notificación dice 'Nuevo solicitante enviado a evaluación a David Ochoa' (nombre propio). El WF sigue mandando correos a su nombre error.</t>
  </si>
  <si>
    <t>Validado por BNO. Aplica como mantenimiento de gobierno. Reemplazar nombres propios por rol/propiedad dinámica para evitar obsolescencia y errores de comunicación.</t>
  </si>
  <si>
    <t>Parametrizar por rol/propiedad: usar variable dinámica 'Director General actual' o destinatario por rol HubSpot. Aplica también al WF-021.</t>
  </si>
  <si>
    <t>CON-029</t>
  </si>
  <si>
    <t>WF-011 · f29</t>
  </si>
  <si>
    <t>Posible duplicado con la acción 4 de WF-010 (que también envía correo al DG). Si ambos están activos, el DG recibe DOS correos por la misma solicitud.</t>
  </si>
  <si>
    <t>Validado por BNO. Aplica. Definir una sola fuente de notificación al DG para evitar duplicidad; recomendación: conservar el WF específico y retirar la acción duplicada del WF-010.</t>
  </si>
  <si>
    <t>Definir cuál de los dos es la fuente única de notificación al DG y deprecar la duplicada. Recomendado: dejar WF-011 y quitar la acción 4 de WF-010.</t>
  </si>
  <si>
    <t>CON-030</t>
  </si>
  <si>
    <t>WF-011 · f30</t>
  </si>
  <si>
    <t>Reinscripción apagada. Si un negocio sale y vuelve a Evaluación, el DG no recibe nueva notificación. Bajo impacto operativo.</t>
  </si>
  <si>
    <t>Validado por BNO. Bajo impacto. Mantener como mejora futura salvo que Monific confirme reingresos frecuentes a Evaluación; si se activa, usar condición acotada para evitar notificaciones repetidas.</t>
  </si>
  <si>
    <t>Evaluar activar reinscripción con criterio Decisión=Pendiente y fecha de entrada actual.</t>
  </si>
  <si>
    <t>CON-031</t>
  </si>
  <si>
    <t>WF-012 · f31</t>
  </si>
  <si>
    <t>WF-012</t>
  </si>
  <si>
    <t>El WF dispara solo cuando Decisión = Aprobado. Cuando es Rechazado, NO se registra la 'Fecha de decisión del comité'. Las solicitudes rechazadas quedan sin fecha de decisión → rompe trazabilidad de SLA y reportes</t>
  </si>
  <si>
    <t>Validado por BNO. Aplica y es crítico. La fecha de decisión debe registrarse tanto para Aprobado como para Rechazado, porque ambos son eventos de comité y alimentan SLA/reportes.</t>
  </si>
  <si>
    <t>Modificar trigger a Decisión = Aprobado OR Rechazado. La fecha debe registrarse en AMBOS casos.</t>
  </si>
  <si>
    <t>CON-032</t>
  </si>
  <si>
    <t>WF-012 · f32</t>
  </si>
  <si>
    <t>Mismo problema de reinscripción: si el negocio entra a Evaluación antes de que se setee Decisión=Aprobado (caso normal), no se inscribe y al setearse luego ya no se re-inscribe. La Fecha de decisión NUNCA se registra automáticamente.</t>
  </si>
  <si>
    <t>Validado por BNO. Aplica. Cambiar a trigger por cambio de propiedad Decisión y activar reinscripción controlada para cubrir el caso normal en que la decisión se captura después.</t>
  </si>
  <si>
    <t>Activar reinscripción por cambio de propiedad Decisión a Aprobado/Rechazado. Idealmente, cambiar trigger a evento de propiedad.</t>
  </si>
  <si>
    <t>CON-033</t>
  </si>
  <si>
    <t>WF-012 · f33</t>
  </si>
  <si>
    <t>Patrón arquitectónico: todos los WFs de Evaluación usan 'estado actual + propiedad en un valor' como trigger, que es frágil (depende del orden de cambios). Lo correcto para fechas de decisión es disparar por 'propiedad cambia a X'.</t>
  </si>
  <si>
    <t>Validado por BNO. Aplica como ajuste arquitectónico. Recomendamos unificar todos los WFs de Evaluación bajo triggers por evento de decisión para reducir dependencia del orden de captura.</t>
  </si>
  <si>
    <t>Re-arquitectar triggers de WF-008/009/012 (y todos los de Evaluación) para usar 'cambio de propiedad' como evento.</t>
  </si>
  <si>
    <t>CON-034</t>
  </si>
  <si>
    <t>WF-013 · f34</t>
  </si>
  <si>
    <t>WF-013</t>
  </si>
  <si>
    <t>Mismo patrón aplicado a la tarea de carta de aceptación. Si Decisión=Aprobado se setea después de Evaluación, la tarea nunca se crea → las cartas de aceptación nunca llegan al asesor.</t>
  </si>
  <si>
    <t>Validado por BNO. Aplica. La tarea de carta de aceptación debe detonarse por decisión aprobada, incluso si la decisión se captura después de entrar a Evaluación.</t>
  </si>
  <si>
    <t>Activar reinscripción con cambio de propiedad Decisión=Aprobado. Idealmente, cambiar trigger a evento de propiedad.</t>
  </si>
  <si>
    <t>CON-035</t>
  </si>
  <si>
    <t>WF-013 · f35</t>
  </si>
  <si>
    <t>La tarea se asigna a 'Propietario del negocio'. Si el negocio no tiene propietario asignado (caso posible si llega del formulario), la tarea queda huérfana sin notificación.</t>
  </si>
  <si>
    <t>Validado por BNO. Aplica. Agregar fallback de propietario antes de crear tarea para evitar tareas huérfanas; definir owner operativo por defecto con Monific.</t>
  </si>
  <si>
    <t>Agregar rama: si Propietario está vacío → asignar a usuario fallback. Verificar que el propietario tenga email válido.</t>
  </si>
  <si>
    <t>CON-036</t>
  </si>
  <si>
    <t>WF-013 · f36</t>
  </si>
  <si>
    <t>En la vista no se ve SLA/fecha de vencimiento de la tarea. La minuta establece 5 días + recordatorio día 3 + escalamiento para tareas automáticas.</t>
  </si>
  <si>
    <t>Validado por BNO. Aplica como estándar de tareas. Confirmar configuración completa de vencimiento, recordatorio y escalamiento; si no existe, agregarlo.</t>
  </si>
  <si>
    <t>Abrir panel completo de la tarea y validar SLA. Si no está, agregar.</t>
  </si>
  <si>
    <t>CON-037</t>
  </si>
  <si>
    <t>WF-014 · f37</t>
  </si>
  <si>
    <t>WF-014</t>
  </si>
  <si>
    <t>CONTRADICCIÓN: master dice 'Encendido' pero HubSpot está DESACTIVADO. Si está apagado en producción, las solicitudes rechazadas NO generan tarea de carta de rechazo, los solicitantes rechazados nunca reciben notificación formal.</t>
  </si>
  <si>
    <t>Validado por BNO. Aplica. Sincronizar estado real HubSpot vs master antes de cierre. Si debe operar para rechazos, activar solo después de corregir trigger, propietario y SLA.</t>
  </si>
  <si>
    <t>Sincronizar master con realidad HubSpot.</t>
  </si>
  <si>
    <t>CON-038</t>
  </si>
  <si>
    <t>WF-014 · f38</t>
  </si>
  <si>
    <t>Mismo patrón aplicado a la carta de rechazo. Si Decisión=Rechazado se setea después de Evaluación, la tarea nunca se crea → las cartas de rechazo nunca se generan.</t>
  </si>
  <si>
    <t>Validado por BNO. Aplica. La carta de rechazo debe detonarse por cambio de Decisión a Rechazado y no depender únicamente del estado al entrar a Evaluación.</t>
  </si>
  <si>
    <t>Activar reinscripción con cambio de propiedad Decisión=Rechazado. Idealmente, trigger por evento de propiedad.</t>
  </si>
  <si>
    <t>CON-039</t>
  </si>
  <si>
    <t>WF-014 · f39</t>
  </si>
  <si>
    <t>Tarea asignada a Propietario del negocio sin fallback si está vacío.</t>
  </si>
  <si>
    <t>Validado por BNO. Aplica. Mismo estándar que WF-013: definir fallback de propietario o responsable por rol para evitar tareas sin dueño.</t>
  </si>
  <si>
    <t>Aplicar fallback de propietario</t>
  </si>
  <si>
    <t>CON-040</t>
  </si>
  <si>
    <t>WF-015 · f40</t>
  </si>
  <si>
    <t>WF-015</t>
  </si>
  <si>
    <t>Mismo patrón aplicado al cruce Formalización → Proceso de firma. Si 'Estatus de formalización = Finalizado' se setea durante Formalización (caso normal), el WF no dispara, el negocio se atora.</t>
  </si>
  <si>
    <t>Validado por BNO. Aplica y es crítico. Cambiar a trigger por cambio de Estatus de formalización a Finalizado, con reinscripción controlada, para cubrir el flujo real.</t>
  </si>
  <si>
    <t>Activar reinscripción por cambio de propiedad Estatus = Finalizado. Idealmente, cambiar trigger a evento de propiedad.</t>
  </si>
  <si>
    <t>CON-041</t>
  </si>
  <si>
    <t>WF-015 · f41</t>
  </si>
  <si>
    <t>Mueve a Proceso de firma sin escribir Fecha de cambio etapa + Origen. Etapa especialmente sensible porque es donde el solicitante recibe documentos a firmar — evidencia regulatoria CNBV/Ley Fintech.</t>
  </si>
  <si>
    <t>Validado por BNO. Aplica por trazabilidad. Registrar fecha de entrada a Proceso de firma, origen WF-015 y responsable/automatización antes del cambio de etapa.</t>
  </si>
  <si>
    <t>Agregar Editar registro que setee Fecha cambio etapa Proceso de firma + Origen 'WF-015 automático'.</t>
  </si>
  <si>
    <t>CON-042</t>
  </si>
  <si>
    <t>WF-015 · f42</t>
  </si>
  <si>
    <t>Al pasar a Proceso de firma no se notifica al solicitante con instrucciones de firma. WF-019 y WF-020 deberían cubrirlo pero WF-020 está apagado.</t>
  </si>
  <si>
    <t>Validado por BNO. Aplica parcialmente. Confirmar el encadenamiento WF-019/WF-020; si WF-020 sigue apagado, la notificación al solicitante debe quedar bloqueada hasta aprobar plantilla y remitente.</t>
  </si>
  <si>
    <t>Confirmar que el cambio de etapa dispara WF-019 → WF-020 y que el solicitante recibe email con instrucciones.</t>
  </si>
  <si>
    <t>CON-043</t>
  </si>
  <si>
    <t>WF-016 · f43</t>
  </si>
  <si>
    <t>WF-016</t>
  </si>
  <si>
    <t>Implementación notifica a Marketing y Legal. Master dice 'Confirmar involucrados (EEJ y MKT)'. Aparentemente Legal = EEJ pero falta confirmación explícita.</t>
  </si>
  <si>
    <t>Validado por BNO. Requiere definición de Monific. Confirmar si Legal equivale a EEJ y si deben incluirse Técnica/Financiera; después homologar nombres en master y WF.</t>
  </si>
  <si>
    <t>Confirmar con Raquel/BNO: (1) Legal = Equipo Evaluación Jurídica? (2) Solo MKT+Legal o también Técnica/Financiera para formalización? (3) Unificar nomenclatura.</t>
  </si>
  <si>
    <t>CON-044</t>
  </si>
  <si>
    <t>WF-016 · f44</t>
  </si>
  <si>
    <t>Reinscripción apagada. Si un negocio sale y vuelve a Formalización, Marketing y Legal no son re-notificados.</t>
  </si>
  <si>
    <t>Validado por BNO. Aplica como mejora operativa. Activar reinscripción solo si Monific confirma que las reentradas a Formalización son parte del proceso esperado.</t>
  </si>
  <si>
    <t>Activar reinscripción cuando el negocio re-entre a Formalización.</t>
  </si>
  <si>
    <t>CON-045</t>
  </si>
  <si>
    <t>WF-017 · f45</t>
  </si>
  <si>
    <t>WF-017</t>
  </si>
  <si>
    <t>La notificación de escalamiento se envía a 'Propietario del negocio'. El propósito es escalar cuando una formalización está estancada &gt;2 días, pero el propietario ES quien está estancado. El escalamiento debe ir a un superior.</t>
  </si>
  <si>
    <t>Validado por BNO. Aplica y es crítico. El escalamiento no debe ir al mismo propietario responsable del estancamiento; definir superior/rol de escalamiento, idealmente dinámico.</t>
  </si>
  <si>
    <t>Cambiar destinatario a un rol superior (Karen). Idealmente, parámetro dinámico tipo 'Reporta a' del Propietario, o destinatario fijo por rol. NO al Propietario del negocio.</t>
  </si>
  <si>
    <t>CON-046</t>
  </si>
  <si>
    <t>WF-017 · f46</t>
  </si>
  <si>
    <t>La condición 'Tiempo en la etapa actual &gt; 2 días' se calcula con la zona horaria de la cuenta. Si está en UTC-04 (H-003) y la operación es CDMX (UTC-06), el cálculo tiene 2h de offset.</t>
  </si>
  <si>
    <t>Validado por BNO. La zona horaria ya fue corregida a CDMX; queda pendiente validar los WFs con horarios fijos o cálculos de tiempo para asegurar consistencia.</t>
  </si>
  <si>
    <t>Resolver primero H-003 (cambiar TZ a UTC-06 CDMX). Validar que el cálculo de tiempo sea consistente.</t>
  </si>
  <si>
    <t>CON-047</t>
  </si>
  <si>
    <t>WF-017 · f47</t>
  </si>
  <si>
    <t>La condición 'Estatus de formalización es desconocido' solo cubre estatus vacío. Si el estatus está seteado a un valor distinto de Finalizado (ej. 'En proceso'), la condición falla y NO se dispara el escalamiento.</t>
  </si>
  <si>
    <t>Validado por BNO. Aplica. Cambiar condición a estatus distinto de Finalizado o listar explícitamente estados no finales para que el escalamiento cubra casos en proceso.</t>
  </si>
  <si>
    <t>Cambiar a 'Estatus de formalización != Finalizado' o explicitar todos los valores no-finales que deben escalar.</t>
  </si>
  <si>
    <t>CON-048</t>
  </si>
  <si>
    <t>WF-019 · f48</t>
  </si>
  <si>
    <t>WF-019</t>
  </si>
  <si>
    <t>Setea la bandera 'Inscribir en secuencia de firma = Sí' en TODOS los contactos asociados, sin filtrar por rol. Cualquier contacto vinculado (incluyendo internos) recibirá luego la secuencia comercial si WF-020 se activa.</t>
  </si>
  <si>
    <t>Validado por BNO. Aplica. Filtrar contactos por rol de firmante/solicitante y excluir internos antes de activar la secuencia de firma.</t>
  </si>
  <si>
    <t>Filtrar para inscribir solo contactos con Rol = 'Solicitante / Firmante / Decisor', excluyendo internos y contactos operativos.</t>
  </si>
  <si>
    <t>2026-05-19</t>
  </si>
  <si>
    <t>CON-049</t>
  </si>
  <si>
    <t>WF-019 · f49</t>
  </si>
  <si>
    <t>Requiere 'Estatus = Finalizado' además de la etapa, pero WF-018 dispara con SOLO Etapa Proceso de firma (sin esa condición) y mueve a Ganado. Resultado: cuando un negocio entra a Proceso de firma, WF-018 lo saca a Ganado ANTES de que se cumpla Finalizado, y WF-019 nunca se ejecuta.</t>
  </si>
  <si>
    <t>Validado por BNO. Aplica y es crítico. WF-018 debe condicionarse a contrato firmado/estatus finalizado; de lo contrario rompe el flujo de firma y evita que WF-019 se ejecute.</t>
  </si>
  <si>
    <t>Sugerencia BNO: Condicionar WF-018 a 'Contrato firmado = Sí' o 'Estatus de firma = Finalizado' antes de mover a Ganado. Ajustar la secuencia para que WF-019 se ejecute en el momento correcto del proceso de firma y no quede bloqueado por un cambio de etapa prematuro.</t>
  </si>
  <si>
    <t>CON-050</t>
  </si>
  <si>
    <t>WF-020 · f50</t>
  </si>
  <si>
    <t>WF-020</t>
  </si>
  <si>
    <t>El WF está DESACTIVADO pero el master lo marca 'Implementado'. La cadena WF-019 → WF-020 queda rota: WF-019 corre, setea la bandera, y nada ocurre. La nota master dice 'validar correo'</t>
  </si>
  <si>
    <t>Validado por BNO. Aplica. La cadena WF-019 -&gt; WF-020 no debe considerarse funcional mientras WF-020 esté desactivado o sin plantilla aprobada. Bloquear hasta validación.</t>
  </si>
  <si>
    <t>Sugerencia BNO: Condicionar WF-018 a 'Contrato firmado = Sí' o 'Estatus de firma = Finalizado' antes de mover a Ganado. Ejecutar WF-019 antes o después según la secuencia real de firma, evitando que el cambio de etapa cierre el proceso prematuramente.</t>
  </si>
  <si>
    <t>CON-051</t>
  </si>
  <si>
    <t>WF-021 · f51</t>
  </si>
  <si>
    <t>WF-021</t>
  </si>
  <si>
    <t>Las 3 notificaciones (Seguimiento, Recordatorio, Urgente) se envían al MISMO Propietario que YA está estancado. No hay escalamiento a un rol superior. Un negocio puede estar 15+ días en Proceso de firma sin que se entere ningún supervisor.</t>
  </si>
  <si>
    <t>Validado por BNO. Aplica. Sustituir la tercera notificación al mismo owner por escalamiento a superior/rol definido; mantener recordatorios previos al owner si Monific lo confirma.</t>
  </si>
  <si>
    <t>Sugerencia BNO: Mantener recordatorios iniciales al owner, pero cambiar la notificación 'Urgente' a un superior/rol de escalamiento (por ejemplo Karen o supervisor definido). Agregar condición para evitar alertas repetidas si el negocio ya avanzó.</t>
  </si>
  <si>
    <t>CON-052</t>
  </si>
  <si>
    <t>WF-022 · f52</t>
  </si>
  <si>
    <t>WF-022</t>
  </si>
  <si>
    <t>Race condition con WF-018: ambos disparan con Pipeline + Etapa = Proceso de firma. WF-018 no tiene condición de Contrato firmado y siempre gana → mueve a Ganado antes de que WF-022 pueda mover a Perdido. Resultado: ningún negocio llega a Perdido por esta vía.</t>
  </si>
  <si>
    <t>Validado por BNO. Aplica y es crítico. Corregir WF-018 primero y condicionar WF-022 a causal real de pérdida/no firma para eliminar la carrera entre Ganado y Perdido.</t>
  </si>
  <si>
    <t>Sugerencia BNO: Corregir WF-018 para que solo mueva a Ganado con contrato firmado y rediseñar WF-022 para disparar únicamente por causal real de pérdida/no firma. Ambos WFs deben tener condiciones excluyentes para evitar carrera entre Ganado y Perdido.</t>
  </si>
  <si>
    <t>CON-053</t>
  </si>
  <si>
    <t>WF-022 · f53</t>
  </si>
  <si>
    <t>Mueve a Cierre Perdido sin setear previamente 'Razón de cierre perdido' ni crear tarea para que el asesor la documente y suba el link de la carta de rechazo.</t>
  </si>
  <si>
    <t>Validado por BNO. Aplica. Antes de mover a Perdido debe existir razón documentada o tarea bloqueante para capturarla; coordinar con WF-024 para no duplicar tareas.</t>
  </si>
  <si>
    <t>CON-054</t>
  </si>
  <si>
    <t>WF-023 · f54</t>
  </si>
  <si>
    <t>WF-023</t>
  </si>
  <si>
    <t>La 'Fecha de cierre' se setea como la fecha en que se ejecutó el WF, no la fecha real de firma del contrato. Si la firma fue días antes del cambio de etapa (o viceversa), la fecha queda mal. Además WF-024 también la setea (race condition).</t>
  </si>
  <si>
    <t>Validado por BNO. Aplica. La fecha de cierre debe venir de la fecha real de firma/contrato, no de la ejecución del WF. Eliminar seteo duplicado con WF-024.</t>
  </si>
  <si>
    <t>Setear Fecha de cierre desde la propiedad 'Fecha de firma del contrato', no como timestamp de la acción. Eliminar el seteo duplicado en WF-024.</t>
  </si>
  <si>
    <t>CON-055</t>
  </si>
  <si>
    <t>WF-024 · f55</t>
  </si>
  <si>
    <t>WF-024</t>
  </si>
  <si>
    <t>WF se llama 'Establecer propiedades de perdido' pero su trigger en HubSpot es 'Etapa = Cierre GANADO'. Resultado: en los perdidos las propiedades nunca se setean automáticamente; y en los ganados crea una tarea confusa 'Documentar motivo de negocio perdido'.</t>
  </si>
  <si>
    <t>Validado por BNO. Aplica y es crítico. Corregir trigger a Cierre perdido y validar acciones. Recomendamos consolidar lógica de cierre en un WF con ramas Ganado/Perdido para evitar confusión.</t>
  </si>
  <si>
    <t>Cambiar el trigger a 'Etapa = Cierre perdido'. Validar que las acciones tienen sentido en ese contexto. Considerar consolidar con WF-023 en un solo WF de cierre con branch por etapa.</t>
  </si>
  <si>
    <t>CON-056</t>
  </si>
  <si>
    <t>WF-024 · f56</t>
  </si>
  <si>
    <t>Aún corrigiendo el trigger, la tarea 'Documentar motivo perdido' se asigna al mismo asesor que no consiguió cerrarlo. Debe revisarlo el supervisor para objetividad.</t>
  </si>
  <si>
    <t>Validado por BNO. Aplica. La documentación del motivo perdido debe revisarla supervisor/rol de control, no solo el asesor. Definir obligatoriedad de Closed Lost Reason antes de cierre.</t>
  </si>
  <si>
    <t>(a) Asignar la tarea al supervisor del Propietario; (b) hacer obligatoria la propiedad 'Closed Lost Reason' al mover etapa; (c) si Reason ya se conoce, en lugar de tarea, generar notificación de revisión al supervisor.</t>
  </si>
  <si>
    <t>CON-057</t>
  </si>
  <si>
    <t>WF-025 · f57</t>
  </si>
  <si>
    <t>WF-025</t>
  </si>
  <si>
    <t>El WF mueve cualquier negocio que entre a Perfil Activo directamente a Inversionista Activo, sin condición de fondeo ≥ $1,000 MXN exigida por el master. Si se activara, cualquier negocio que llegue a Perfil Activo saltaría a Activo sin evidencia de inversión.</t>
  </si>
  <si>
    <t>Validado por BNO. Aplica y es crítico. No debe moverse a Inversionista Activo sin evidencia de fondeo. Trigger debe depender de dato financiero real desde Admin.Monific/API.</t>
  </si>
  <si>
    <t>Reescribir el trigger condicionado a evento financiero real (Monto invertido total &gt;= 1000 desde Admin.Monific). Documentar criterio en master.</t>
  </si>
  <si>
    <t>CON-058</t>
  </si>
  <si>
    <t>WF-025 · f58</t>
  </si>
  <si>
    <t>Master declara 'Encendido / Implementado' pero HubSpot lo muestra DESACTIVADO.</t>
  </si>
  <si>
    <t>Validado por BNO. Aplica como reconciliación documental. Sincronizar estado real HubSpot vs master antes de declarar implementado o activar.</t>
  </si>
  <si>
    <t>Sugerencia BNO: Reconciliar el estado real del WF en HubSpot contra el master. Si está desactivado por dependencia funcional, marcarlo como 'Bloqueado/No activo' y documentar condición necesaria para activación.</t>
  </si>
  <si>
    <t>CON-059</t>
  </si>
  <si>
    <t>WF-026 · f59</t>
  </si>
  <si>
    <t>WF-026</t>
  </si>
  <si>
    <t>BUG: el WF se llama 'Cambio de etapa a Congelado' pero su acción mueve a 'Inversionista Activo' (idéntico al WF-025). Copy-paste sin redefinir destino.</t>
  </si>
  <si>
    <t>Validado por BNO. Aplica y es crítico. Corregir acción destino a Congelado; revisar si proviene de copy-paste y probar antes de activar.</t>
  </si>
  <si>
    <t>Corregir la acción: debe setear etapa = Congelado, no Inversionista Activo.</t>
  </si>
  <si>
    <t>CON-060</t>
  </si>
  <si>
    <t>WF-026 · f60</t>
  </si>
  <si>
    <t>Faltan los criterios de inactividad del master: (a) Perfil Activo→Congelado a los 15 días sin fondeo; (b) Activo→Congelado a los 90 días sin inversión.</t>
  </si>
  <si>
    <t>Validado por BNO. Aplica. Rediseñar con criterios temporales y financieros separados para Perfil Activo sin fondeo y Activo sin inversión; ambos dependen de datos confiables de Admin.Monific.</t>
  </si>
  <si>
    <t>Rediseñar trigger con condiciones temporales y de saldo desde Admin.Monific. Considerar separar en dos WFs por origen.</t>
  </si>
  <si>
    <t>CON-061</t>
  </si>
  <si>
    <t>WF-027 · f61</t>
  </si>
  <si>
    <t>WF-027</t>
  </si>
  <si>
    <t>Las acciones setean valores HARDCODED: 'Nivel de registro' = '3. Cuenta STP creada' y 'CLABE STP' = 1. La nota del master dice 'ajustes desde la API'. Si se activara, todos los negocios entrantes recibirían los mismos valores fijos sin importar el estado real en Admin.Monific.</t>
  </si>
  <si>
    <t>Validado por BNO. Aplica y queda bloqueado por integración. Eliminar valores hardcoded y alimentar Nivel de registro/CLABE desde Admin.Monific o propiedad fuente validada.</t>
  </si>
  <si>
    <t>Reescribir para que las propiedades se llenen vía integración Admin.Monific → HubSpot. Eliminar los valores hardcoded.</t>
  </si>
  <si>
    <t>CON-062</t>
  </si>
  <si>
    <t>WF-027 · f62</t>
  </si>
  <si>
    <t>La propiedad 'Nivel de registro' típicamente es del objeto Contacto (define el avance del KYC del inversionista). El WF la setea sobre el objeto Negocio. Hay que validar si la propiedad existe en Negocio o si está apuntando incorrectamente.</t>
  </si>
  <si>
    <t>Validado por BNO. Aplica como validación de modelo de datos. Confirmar si la propiedad corresponde a Contacto o Negocio antes de corregir acciones del WF.</t>
  </si>
  <si>
    <t>Verificar en HubSpot Settings → Propiedades de Negocio. Si no existe, redirigir al objeto Contacto.</t>
  </si>
  <si>
    <t>CON-063</t>
  </si>
  <si>
    <t>WF-028 · f63</t>
  </si>
  <si>
    <t>WF-028</t>
  </si>
  <si>
    <t>Las dos acciones de WhatsApp envían el MISMO template: 'auto_respuesta_no_disponible' (mensaje de fuera de horario). El propósito del WF (notificar activación de perfil) NO se cumple</t>
  </si>
  <si>
    <t>Validado por BNO. Aplica. El template actual no cumple el propósito del WF; seleccionar plantilla correcta de activación de perfil o bloquear activación hasta tener contenido aprobado.</t>
  </si>
  <si>
    <t>Sugerencia BNO: Sustituir el template 'auto_respuesta_no_disponible' por una plantilla específica de activación de perfil/inversionista. Bloquear activación hasta validar mensaje, consentimiento, canal y destinatario autorizado.</t>
  </si>
  <si>
    <t>CON-064</t>
  </si>
  <si>
    <t>WF-028 · f64</t>
  </si>
  <si>
    <t>Ambos envíos de WhatsApp van a 'Todos los contactos asociados' al Negocio sin filtro por rol. Si hay co-inversionistas o referidos, todos reciben el WhatsApp — posibles violaciones de comunicación no consentida (Ley Fintech).</t>
  </si>
  <si>
    <t>Validado por BNO. Aplica. WhatsApp debe enviarse solo al Inversionista titular/contacto consentido. No usar todos los contactos asociados para comunicaciones regulatorias o comerciales.</t>
  </si>
  <si>
    <t>Filtrar destinatarios por rol del contacto: enviar solo al 'Inversionista titular'.</t>
  </si>
  <si>
    <t>CON-065</t>
  </si>
  <si>
    <t>WF-028 · f65</t>
  </si>
  <si>
    <t>Las acciones 1 y 2 (Nivel de registro=3 y CLABE=1) son IDÉNTICAS a las del WF-027. Bug por copy-paste. Si ambos WFs se activan, se ejecutan dos veces.</t>
  </si>
  <si>
    <t>Validado por BNO. Aplica como ajuste medio de limpieza técnica. Evitar doble escritura de las mismas propiedades y dejar una sola fuente de verdad para la actualización desde integración.</t>
  </si>
  <si>
    <t>Sugerencia BNO: Eliminar las acciones duplicadas o consolidarlas con WF-027. Dejar una sola fuente de actualización para Nivel de registro y CLABE, alimentada por integración/API y no por valores fijos.</t>
  </si>
  <si>
    <t>CON-066</t>
  </si>
  <si>
    <t>WF-029 · f66</t>
  </si>
  <si>
    <t>WF-029</t>
  </si>
  <si>
    <t>Reinscripción apagada. Un negocio que sale temporalmente de Perfil Activo y vuelve a entrar (caso natural en journey de Inversionista) no vuelve a disparar el WF → falsos negativos en cobertura del asesor.</t>
  </si>
  <si>
    <t>Validado por BNO. Aplica como mejora operativa. Activar reinscripción controlada si el journey de Inversionista contempla reentrada a Perfil Activo; definir ventana mínima para evitar loops.</t>
  </si>
  <si>
    <t>Activar reinscripción con criterio claro (ej. mínimo 24h desde última inscripción).</t>
  </si>
  <si>
    <t>CON-067</t>
  </si>
  <si>
    <t>WF-030 · f67</t>
  </si>
  <si>
    <t>WF-030</t>
  </si>
  <si>
    <t>El WF se llama 'inversionista estancado' pero el trigger no captura ese concepto: dispara inmediatamente al entrar a Perfil Activo, sin condición temporal ni de fondeo. La tarea de empuje se crea para TODOS los negocios entrantes, no solo los estancados. Satura al asesor.</t>
  </si>
  <si>
    <t>Validado por BNO. Aplica y es crítico. El trigger debe representar estancamiento real: días desde entrada &gt;= 15 y monto fondeado = 0, alimentado desde Admin.Monific/API.</t>
  </si>
  <si>
    <t>CON-068</t>
  </si>
  <si>
    <t>WF-031 · f68</t>
  </si>
  <si>
    <t>WF-031</t>
  </si>
  <si>
    <t>Trigger y acción 1 referencian Pipeline y Etapa por IDs numéricos en lugar de nombres (atípico vs WF-025/026/027 que sí usan nombres). Si las etapas se renombran o eliminan, el WF puede romperse.</t>
  </si>
  <si>
    <t>Validado por BNO. Aplica. Reconfigurar referencias usando selectores con nombres y documentar mapeo; estandarizar todos los WFs de Inversionistas para evitar roturas por IDs.</t>
  </si>
  <si>
    <t>Reabrir el WF y reseleccionar Pipeline/Etapas usando el selector con nombres, no IDs. Documentar el mapeo. Estandarizar en todos los WFs Inversionista.</t>
  </si>
  <si>
    <t>CON-069</t>
  </si>
  <si>
    <t>WF-032 · f69</t>
  </si>
  <si>
    <t>WF-032</t>
  </si>
  <si>
    <t>Trigger sin condición temporal. El master exige '90 días sin inversión' para mover Activo → Congelado. Si se activara, cualquier negocio que entre a Activo saltaría inmediatamente a Congelado.</t>
  </si>
  <si>
    <t>Validado por BNO. Aplica y es crítico. Agregar condición temporal de 90 días sin inversión antes de mover a Congelado; no activar sin fecha de última inversión confiable.</t>
  </si>
  <si>
    <t>Sugerencia BNO: Eliminar acciones duplicadas o consolidarlas con WF-027. Dejar una sola fuente de actualización para Nivel de registro y CLABE, alimentada por la integración correcta y no por valores fijos.</t>
  </si>
  <si>
    <t>CON-070</t>
  </si>
  <si>
    <t>WF-032 · f70</t>
  </si>
  <si>
    <t>El paso a Congelado activa monitoreo regulatorio (negocio sin inversión &gt;90 días). La acción solo setea etapa sin trazabilidad: Fecha cambio, Origen, Motivo</t>
  </si>
  <si>
    <t>Monific – Compliance</t>
  </si>
  <si>
    <t>Validado por BNO. Aplica por trazabilidad regulatoria. Al congelar debe registrarse fecha, origen automático y motivo; coordinar con WF-037 para evitar duplicidad.</t>
  </si>
  <si>
    <t>Agregar acciones: Fecha cambio etapa, Origen = 'Auto WF inactividad 90d', Motivo de congelado = 'Sin inversión &gt; 90 días'. Coordinar con WF-037.</t>
  </si>
  <si>
    <t>CON-071</t>
  </si>
  <si>
    <t>WF-033 · f71</t>
  </si>
  <si>
    <t>WF-033</t>
  </si>
  <si>
    <t>Las acciones 1 y 4 son IDÉNTICAS: ambas definen 'Fecha de primera inversión' = fecha del WF, separadas por un retraso de 3 días. Dos problemas: (a) la fecha es la del cambio de etapa en HubSpot, no la real desde Admin.Monific; (b) la duplicación 3 días después sobrescribe el primer valor, perdiendo la fecha original.</t>
  </si>
  <si>
    <t>Validado por BNO. Aplica. Eliminar acción duplicada y usar fecha real de primera inversión proveniente de Admin.Monific, no fecha de ejecución del WF.</t>
  </si>
  <si>
    <t>(a) Eliminar acción 4 (duplicado). (b) Reescribir acción 1 para tomar la fecha real desde una propiedad sincronizada. (c) Si la intención del retraso era validación, documentarlo.</t>
  </si>
  <si>
    <t>CON-072</t>
  </si>
  <si>
    <t>WF-033 · f72</t>
  </si>
  <si>
    <t>El master describe este WF como el que setea las propiedades de inversión completas (Fecha, Monto, Saldo, Rendimientos, Fechas de campaña). El wf solo setea 2 propiedades, ambas con valores erróneos. Saldo, Rendimientos y Fechas están AUSENTES.</t>
  </si>
  <si>
    <t>Validado por BNO. Aplica y depende de integración. Completar todas las propiedades de inversión del master con datos fuente de Admin.Monific antes de considerar funcional.</t>
  </si>
  <si>
    <t>Agregar acciones para todas las propiedades del master. Todas deben provenir de Admin.Monific vía integración.</t>
  </si>
  <si>
    <t>CON-073</t>
  </si>
  <si>
    <t>WF-034 · f73</t>
  </si>
  <si>
    <t>WF-034</t>
  </si>
  <si>
    <t>El WF está configurado sobre objeto Contactos. El master declara objeto = Negocio (consistente con los demás 15 WFs Inversionista). Inconsistencia de objeto.</t>
  </si>
  <si>
    <t>Validado por BNO. Requiere decisión de diseño. Si la secuencia opera sobre Contactos, actualizar master y diseñar puente desde Negocio; si no, refactorizar el WF al objeto correcto.</t>
  </si>
  <si>
    <t>Decidir: (a) si la secuencia debe correr sobre Contactos, actualizar master a Objeto=Contacto y diseñar puente desde Negocio; (b) si debe correr sobre Negocio, refactorizar el WF.</t>
  </si>
  <si>
    <t>CON-074</t>
  </si>
  <si>
    <t>WF-034 · f74</t>
  </si>
  <si>
    <t>La acción intenta inscribir en una secuencia pero los parámetros están como tokens sin resolver: {{sequenceId}} y {{senderType}} con marca roja 'Se necesitan cambios'. No hay secuencia real seleccionada ni remitente configurado. El WF no puede ejecutarse.</t>
  </si>
  <si>
    <t>Validado por BNO. Aplica. Resolver sequenceId/senderType y aprobar contenido antes de activar; mientras existan tokens sin resolver, el WF no debe marcarse funcional.</t>
  </si>
  <si>
    <t>(a) Definir qué secuencia(s) usar. (b) Configurar senderType. (c) Validar contenido y aprobación. (d) Resolver decisión pendiente: secuencia vs correo de marketing.</t>
  </si>
  <si>
    <t>CON-075</t>
  </si>
  <si>
    <t>WF-034 · f75</t>
  </si>
  <si>
    <t>El trigger es 'Solo activado manualmente'. Rompe la cadena con WF-033 que debería preparar propiedades para que este WF envíe la secuencia automáticamente.</t>
  </si>
  <si>
    <t>Validado por BNO. Aplica parcialmente. Cambiar de activación manual a filtros/evento solo cuando las propiedades regulatorias estén completas; revisar reinscripción para reinversión.</t>
  </si>
  <si>
    <t>Cambiar trigger a inscripción por filtros (Etapa=Inversionista Activo + propiedades regulatorias llenas). Activar reinscripción si el journey lo justifica (reinversión).</t>
  </si>
  <si>
    <t>CON-076</t>
  </si>
  <si>
    <t>WF-035 · f76</t>
  </si>
  <si>
    <t>WF-035</t>
  </si>
  <si>
    <t>WF-035 es byte-idéntico a WF-033: mismo trigger, mismas 4 acciones (Monto=0 hardcoded, Fecha duplicada). El master los lista como dos WFs distintos con nombres distintos. Copy-paste sin redefinir el propósito real.</t>
  </si>
  <si>
    <t>Validado por BNO. Aplica y es crítico. Definir propósito real de WF-035; si no tiene caso diferenciado frente a WF-033, fusionar o eliminar para reducir riesgo de copy-paste.</t>
  </si>
  <si>
    <t>Decidir el propósito real de WF-035: (a) si es para re-entrada desde Congelado, cambiar trigger y diferenciar acciones; (b) si no tiene propósito diferenciado, fusionar o eliminar.</t>
  </si>
  <si>
    <t>CON-077</t>
  </si>
  <si>
    <t>WF-036 · f77</t>
  </si>
  <si>
    <t>WF-036</t>
  </si>
  <si>
    <t>El trigger es 'entrada a Congelado' pero la acción es 'mover a Inversionista Activo'. Si se activara, cualquier negocio que pase a Congelado saltaría a Activo → contradice el propósito de Congelado. El paso real Congelado → Activo debe detonarse por nueva inversión.</t>
  </si>
  <si>
    <t>Validado por BNO. Aplica y es crítico. Congelado -&gt; Activo debe detonarse por nueva inversión real, no por entrada a Congelado. Corregir trigger y registrar trazabilidad.</t>
  </si>
  <si>
    <t>Reescribir trigger por evento financiero: cambio en propiedad sincronizada (Última fecha de inversión + Monto &gt;= $1,000 MXN) cuando Etapa=Congelado. La acción sí debe mover a Activo, y escribir trazabilidad.</t>
  </si>
  <si>
    <t>CON-078</t>
  </si>
  <si>
    <t>WF-036 · f78</t>
  </si>
  <si>
    <t>Reinscripción apagada. En journey de Inversionista las re-entradas son naturales (Congelado → Activo → Congelado → Activo por inversiones intermitentes). Solo se dispara la PRIMERA vez.</t>
  </si>
  <si>
    <t>Validado por BNO. Aplica como comportamiento esperado del journey. Activar reinscripción con ventana mínima para reactivaciones reales y evitar bucles.</t>
  </si>
  <si>
    <t>Activar reinscripción con criterio sensato (ej. mínimo 30 días desde última inscripción para evitar loops).</t>
  </si>
  <si>
    <t>CON-079</t>
  </si>
  <si>
    <t>WF-037 · f79</t>
  </si>
  <si>
    <t>WF-037</t>
  </si>
  <si>
    <t>Las dos únicas acciones son IDÉNTICAS: ambas definen 'Fecha de congelado' = fecha de ejecución. Bug de duplicación.</t>
  </si>
  <si>
    <t>Validado por BNO. Aplica. Eliminar acción duplicada y dejar una sola escritura de Fecha de congelado.</t>
  </si>
  <si>
    <t>Eliminar acción 2.</t>
  </si>
  <si>
    <t>CON-080</t>
  </si>
  <si>
    <t>WF-037 · f80</t>
  </si>
  <si>
    <t>El WF se llama 'Definir campos de entrada' a Congelado. El master requiere registrar el MOTIVO del congelado al entrar. El WF NO setea esta propiedad.</t>
  </si>
  <si>
    <t>Validado por BNO. Aplica. Agregar Motivo de congelado como propiedad obligatoria del evento; si depende del tipo de congelamiento, definir catálogo con Monific.</t>
  </si>
  <si>
    <t>Sugerencia BNO: Agregar acción para registrar Motivo de congelado al entrar a la etapa. Definir catálogo de motivos con Monific, por ejemplo: sin inversión &gt;90 días, solicitud del cliente, validación pendiente o restricción operativa.</t>
  </si>
  <si>
    <t>CON-081</t>
  </si>
  <si>
    <t>WF-038 · f81</t>
  </si>
  <si>
    <t>WF-038</t>
  </si>
  <si>
    <t>(a) El template del correo está como 'desconocido' con marca roja, no hay correo real seleccionado. (b) El master menciona 'campañas de 12 meses' para reactivación, lo que implica serie temporizada de correos; el WF solo tiene 1 envío único.</t>
  </si>
  <si>
    <t>Validado por BNO. Aplica. Plantillas reportadas como realizadas; falta seleccionar template real en el WF y confirmar si la reactivación será campaña de 12 meses o envío único.</t>
  </si>
  <si>
    <t>CON-082</t>
  </si>
  <si>
    <t>WF-038 · f82</t>
  </si>
  <si>
    <t>El correo se envía a 'Todos los contactos asociados' al Negocio. En contexto de inversionista congelado, enviar a contactos secundarios puede generar confusión o quejas de protección al usuario</t>
  </si>
  <si>
    <t>Validado por BNO. Aplica. Filtrar a Inversionista titular y excluir contactos secundarios/internos antes de activar comunicación.</t>
  </si>
  <si>
    <t>Filtrar al contacto con rol 'Inversionista titular'.</t>
  </si>
  <si>
    <t>CON-083</t>
  </si>
  <si>
    <t>WF-039 · f83</t>
  </si>
  <si>
    <t>WF-039</t>
  </si>
  <si>
    <t>El WF se llama 'Notificaciones internas' en etapa Cierre, pero la única acción REGRESA el negocio de Cierre a Inversionista Activo. Si se activa: (a) cualquier cierre regulatorio se reverte automáticamente; (b) violación CNBV/Ley Fintech; (c) negocios cerrados nunca permanecerían cerrados. Probablemente copy-paste de WF-031.</t>
  </si>
  <si>
    <t>Validado por BNO. Aplica y es crítico. El WF de cierre nunca debe regresar negocios a Activo. Eliminar acción peligrosa y reemplazar por notificación/tarea/registro de cierre.</t>
  </si>
  <si>
    <t>Eliminar la acción 1 peligrosa y reemplazar por la notificación interna real: (a) Notif a Operaciones/Compliance/Owner; (b) Tarea de cierre contable; (c) Propiedades de trazabilidad regulatoria. NUNCA debe cambiar etapa fuera de Cierre.</t>
  </si>
  <si>
    <t>CON-084</t>
  </si>
  <si>
    <t>WF-039 · f84</t>
  </si>
  <si>
    <t>Se llama 'Notificaciones internas' pero NO envía ninguna notificación: no hay acción de correo. Funcionalmente vacío respecto a su propósito.</t>
  </si>
  <si>
    <t>Validado por BNO. Aplica. Diseñar notificación interna real para cierre, con destinatarios por rol y propiedades de trazabilidad.</t>
  </si>
  <si>
    <t>Diseñar las notificaciones reales: destinatarios</t>
  </si>
  <si>
    <t>CON-085</t>
  </si>
  <si>
    <t>WF-040 · f85</t>
  </si>
  <si>
    <t>WF-040</t>
  </si>
  <si>
    <t>Comunicación de cierre al inversionista: (a) template 'desconocido' con marca roja, sin contenido real; (b) sin acción de registro de evidencia regulatoria (fecha, contenido, ack); (c) decisión pendiente: secuencia vs correo.</t>
  </si>
  <si>
    <t>Validado por BNO. Aplica. Seleccionar template real, definir canal (secuencia vs correo) y registrar evidencia de comunicación de cierre antes de activar.</t>
  </si>
  <si>
    <t>Templates realizados</t>
  </si>
  <si>
    <t>CON-086</t>
  </si>
  <si>
    <t>WF-040 · f86</t>
  </si>
  <si>
    <t>El correo de cierre se envía a 'Todos los contactos asociados'. Riesgo: contactos secundarios reciben información del cierre que no les corresponde.</t>
  </si>
  <si>
    <t>Validado por BNO. Aplica. En cierre de inversionista, la comunicación debe enviarse solo al Inversionista titular/contacto autorizado.</t>
  </si>
  <si>
    <t>CON-087</t>
  </si>
  <si>
    <t>WF-041 · f87</t>
  </si>
  <si>
    <t>WF-041</t>
  </si>
  <si>
    <t>La distribución está configurada como 'Aleatoria' en lugar de round-robin equitativo. En equipos de 2 puede saturar a uno mientras el otro queda libre.</t>
  </si>
  <si>
    <t>Validado por BNO. Aplica. Cambiar asignación aleatoria por rotativo/round-robin y validar distribución histórica después del ajuste.</t>
  </si>
  <si>
    <t>Cambiar distribución de 'Aleatoria' a 'Rotativo' / 'Por turnos' (round-robin nativo). Validar contra histórico que ambos E.A.C. reciben aprox. mismo número de tickets.</t>
  </si>
  <si>
    <t>Master_de_Implementación_Servicio_MonificVF.xlsx</t>
  </si>
  <si>
    <t>CON-088</t>
  </si>
  <si>
    <t>WF-041 · f88</t>
  </si>
  <si>
    <t>El equipo tiene 2 miembros pero el WF no aplica lógica de turnos por horario. Sasha cubre fines de semana; entre semana la vacante la cubre Raquel temporalmente. Asignar a Sasha en lunes 11am la deja fuera del SLA 5 min.</t>
  </si>
  <si>
    <t>Validado por BNO. Requiere definición operativa de Monific. Ajustar rotación por horarios/cobertura real y actualizar cuando se incorpore el nuevo rol/persona.</t>
  </si>
  <si>
    <t>Implementar rotación por horario: 2 acciones de 'Rotar' condicionadas por día de la semana. Fines de semana → Sasha; entre semana → Raquel (o usuario nuevo cuando se contrate).</t>
  </si>
  <si>
    <t>CON-089</t>
  </si>
  <si>
    <t>WF-042 · f89</t>
  </si>
  <si>
    <t>WF-042</t>
  </si>
  <si>
    <t>La notificación va a 'Raquel Alfie' hardcoded en lugar de rol Dirección Comercial. Si Raquel cambia rol o se contrata Dir Comercial, el WF queda obsoleto.</t>
  </si>
  <si>
    <t>Validado por BNO. Aplica. Reemplazar destinatario hardcoded por rol/equipo de Dirección Comercial o propiedad configurable.</t>
  </si>
  <si>
    <t>Reemplazar destinatario hardcoded por el rol o equipo correspondiente.</t>
  </si>
  <si>
    <t>CON-090</t>
  </si>
  <si>
    <t>WF-043 · f90</t>
  </si>
  <si>
    <t>WF-043</t>
  </si>
  <si>
    <t>El master define el trigger como 'primera interacción del E.A.C.' pero el WF dispara con CUALQUIER actividad: log de sistema, asignación por WF, email automático, edición de admin. Tickets pueden pasar a 'En atención' sin que el E.A.C. realmente haya tomado acción humana.</t>
  </si>
  <si>
    <t>Validado por BNO. Aplica. El trigger debe representar primera respuesta humana del E.A.C., no cualquier actividad del ticket. Ajustar filtros por equipo/usuario antes de medir SLA.</t>
  </si>
  <si>
    <t>Cambiar trigger a evento explícito de respuesta humana del E.A.C.: nota agregada por usuario del equipo, o envío de email desde HubSpot por usuario del equipo. Filtrar por 'Owner ID = miembro del equipo Atención al Cliente'.</t>
  </si>
  <si>
    <t>CON-091</t>
  </si>
  <si>
    <t>WF-043 · f91</t>
  </si>
  <si>
    <t>La condición 'Última actividad es conocido' se cumple para cualquier usuario: admins, integraciones automáticas, bots. No filtra que el actor sea miembro del equipo ATC. Distorsiona métricas de SLA.</t>
  </si>
  <si>
    <t>Validado por BNO. Aplica. Agregar filtro de actor/equipo para excluir automatizaciones, admins o integraciones que distorsionen la métrica de primera respuesta.</t>
  </si>
  <si>
    <t>Agregar filtro 'Último propietario actualizado por = miembro del equipo Atención al Cliente'.</t>
  </si>
  <si>
    <t>CON-092</t>
  </si>
  <si>
    <t>WF-044 · f92</t>
  </si>
  <si>
    <t>WF-044</t>
  </si>
  <si>
    <t>WF-043 y WF-044 tienen IDÉNTICO trigger y disparan en paralelo: uno cambia etapa, otro setea fecha. Si WF-044 falla (apagado/error/retraso), la propiedad 'Fecha primera respuesta' queda vacía aunque el ticket pase a En Atención.</t>
  </si>
  <si>
    <t>Validado por BNO. Aplica. Consolidar WF-043 y WF-044 en un solo flujo secuencial para asegurar que fecha de primera respuesta y cambio de etapa ocurran juntos.</t>
  </si>
  <si>
    <t>Consolidar WF-043 y WF-044 en un SOLO workflow con 2 acciones secuenciales: setear Fecha primera respuesta, luego mover a En atención.</t>
  </si>
  <si>
    <t>CON-093</t>
  </si>
  <si>
    <t>WF-044 · f93</t>
  </si>
  <si>
    <t>Solo escribe Fecha. La primera respuesta requiere trazabilidad completa: quién respondió, en qué canal (WhatsApp/Email/Chat/Teléfono), con qué contenido.</t>
  </si>
  <si>
    <t>Validado por BNO. Aplica como mejora de trazabilidad. Además de fecha, registrar usuario, canal e identificador de actividad para soportar auditoría de SLA.</t>
  </si>
  <si>
    <t>Agregar acciones para escribir: Usuario primera respuesta = Propietario, Canal primera respuesta = canal del trigger, ID actividad = ID de la nota/email.</t>
  </si>
  <si>
    <t>CON-094</t>
  </si>
  <si>
    <t>WF-044 · f94</t>
  </si>
  <si>
    <t>Si un ticket vuelve de 'En atención' a 'Nuevo' (re-apertura), la 'Fecha primera respuesta' queda con el valor histórico. Métrica SLA distorsionada</t>
  </si>
  <si>
    <t>Validado por BNO. Aplica parcialmente. Para reaperturas, definir con Monific si se conserva primera respuesta histórica y se agrega Fecha última respuesta, o si se reinicia métrica por ciclo.</t>
  </si>
  <si>
    <t>Activar reinscripción por cambio de propiedad O crear propiedad adicional 'Fecha última respuesta' que sí se actualice.</t>
  </si>
  <si>
    <t>CON-095</t>
  </si>
  <si>
    <t>WF-045 · f95</t>
  </si>
  <si>
    <t>WF-045</t>
  </si>
  <si>
    <t>WF apagado y sin acciones (canvas vacío, solo Trigger → Fin). Contradice minuta marzo 2026 que pide crear tarea automática a Guillermo con SLA 1h.</t>
  </si>
  <si>
    <t>Validado por BNO. Aplica y es crítico. Implementar tarea real con SLA 1h y activar solo después de validar responsable, criterio de escalamiento y prueba de inscripción.</t>
  </si>
  <si>
    <t>Implementar tarea a Guillermo con SLA 1h + setear Fecha escalamiento Tipo C + activar.</t>
  </si>
  <si>
    <t>CON-096</t>
  </si>
  <si>
    <t>WF-046 · f96</t>
  </si>
  <si>
    <t>WF-046</t>
  </si>
  <si>
    <t>El WF solo cambia etapa. NO asigna propietario al equipo TI, NO notifica a Raquel. El ticket queda huérfano en Escalado a TI sin responsable.</t>
  </si>
  <si>
    <t>Validado por BNO. Aplica. El ticket escalado a TI debe mantener trazabilidad, propietario técnico/responsable y notificación al área correspondiente; confirmar rol de Jesús/equipo TI.</t>
  </si>
  <si>
    <t>Posibilidad de incluir a Jesus como propietario sin quitar al propietario original del ticket. Enviar email a Raquel y al técnico asignado con resumen del ticket.</t>
  </si>
  <si>
    <t>CON-097</t>
  </si>
  <si>
    <t>WF-048 · f97</t>
  </si>
  <si>
    <t>WF-048</t>
  </si>
  <si>
    <t>El correo de escalamiento crítico va a 'Raquel Alfie' hardcoded. Si Raquel cambia rol o se contrata Dir Comercial / Compliance, el WF queda obsoleto. También: si el escalamiento es para Karen Gómez, debería incluirla.</t>
  </si>
  <si>
    <t>Validado por BNO. Aplica. Reemplazar destinatarios hardcoded por equipos/roles de escalamiento; confirmar si Karen debe incluirse en escalamiento crítico.</t>
  </si>
  <si>
    <t>Reemplazar destinatarios hardcoded por equipos/roles de escalamiento. Confirmar con Monific si el escalamiento crítico debe incluir a Karen, Dirección Comercial y/o Compliance, y actualizar la lista de distribución correspondiente.</t>
  </si>
  <si>
    <t>CON-098</t>
  </si>
  <si>
    <t>WF-048 · f98</t>
  </si>
  <si>
    <t>Si a 48h se notifica pero el ticket sigue ahí 72h, 96h, no hay nueva alerta. Tickets pueden quedarse semanas en Escalado a TI sin nuevas alertas.</t>
  </si>
  <si>
    <t>Validado por BNO. Aplica como mejora de control. Implementar escalamiento progresivo 48/72/96h con responsables por rol y evitar alertas únicas que se pierden.</t>
  </si>
  <si>
    <t>Crear cadena de escalamiento progresivo: 48h → Raquel, 72h → CC Dirección, 96h → ticket de auditoría interna. Activar reinscripción.</t>
  </si>
  <si>
    <t>CON-099</t>
  </si>
  <si>
    <t>WF-049 · f99</t>
  </si>
  <si>
    <t>WF-049</t>
  </si>
  <si>
    <t>El trigger solo verifica Estado = Cerrado. Cualquier movimiento manual a Cerrado dispara cierre sin: confirmación del cliente, nota de resolución, validación por superior.</t>
  </si>
  <si>
    <t>Validado por BNO. Aplica y es crítico. El cierre debe exigir motivo/resolución documentada y evidencia antes de detonar notificación o marcar como cerrado.</t>
  </si>
  <si>
    <t>Agregar al trigger filtros: AND Motivo de cierre conocido AND Resolución documentada con link a drive de carta.</t>
  </si>
  <si>
    <t>CON-100</t>
  </si>
  <si>
    <t>WF-049 · f100</t>
  </si>
  <si>
    <t>La notificación de registro UNE va a 'Raquel Alfie' hardcoded.</t>
  </si>
  <si>
    <t>Validado por BNO. Aplica. Sustituir Raquel hardcoded por equipo/rol responsable de UNE y agregar Legal/Compliance si Monific lo confirma.</t>
  </si>
  <si>
    <t>Reemplazar por equipos y agregar a legal.</t>
  </si>
  <si>
    <t>CON-101</t>
  </si>
  <si>
    <t>WF-050 · f101</t>
  </si>
  <si>
    <t>WF-050</t>
  </si>
  <si>
    <t>WF-050 asigna propietario al equipo 'Atención al Cliente' en lugar del equipo Cobranza (Memo/Guillermo, Ejecutivo de Cobranza). Resultado: tickets de cobranza propiedad de ATC, Memo nunca asignado salvo reasignación manual; la notificación interna cae en buzón ATC, no en Cobranza.</t>
  </si>
  <si>
    <t>Validado por BNO. Aplica y es crítico. La asignación de cobranza debe ir al equipo Cobranza, no ATC. Ajustar target del round-robin y probar creación/asignación de tickets.</t>
  </si>
  <si>
    <t>Cambiar el target del round-robin al equipo 'Cobranza' (o asignar a equipo correspondiente).</t>
  </si>
  <si>
    <t>Master de Implementación Cobranza - Monific.xlsx</t>
  </si>
  <si>
    <t>CON-102</t>
  </si>
  <si>
    <t>WF-052 · f102</t>
  </si>
  <si>
    <t>WF-052</t>
  </si>
  <si>
    <t>El 100% de las propiedades obligatorias del Master Cobranza (35/35) están marcadas como 'Automático', dependen del sync vía API Admin.Monific/Armonitik que TI Monific debe entregar. Correo 7-may de David Ochoa indica pausa hasta 22-may. Consecuencia: aunque los 15 WFs estén implementados, los triggers que dependen de propiedades automáticas quedan INERTES.</t>
  </si>
  <si>
    <t>Monific – Tech</t>
  </si>
  <si>
    <t>Monific – TI</t>
  </si>
  <si>
    <t>Validado por BNO. Bloqueado por dependencia API/Admin.Monific. BNO puede preparar set de pruebas con datos mockeados, pero no declarar funcionales WFs que dependen de propiedades automáticas sin sync confirmado.</t>
  </si>
  <si>
    <t>Monific debe formalizar SLA de entrega de API con fecha firme. BNO debe construir set de pruebas end-to-end con datos mockeados para validar cada WF antes de declarar 'Implementado'. Dashboard de 'WFs inertes por dependencia API' con count de inscripciones reales.</t>
  </si>
  <si>
    <t>CON-103</t>
  </si>
  <si>
    <t>WF-053 · f103</t>
  </si>
  <si>
    <t>WF-053</t>
  </si>
  <si>
    <t>El trigger está configurado como 'En una programación · Anualmente el 1 de junio'. Dispara UNA VEZ AL AÑO — contradice completamente el concepto de recordatorios y la minuta 5-mar-2026 que define ciclo día 1 / 7 / 13-14-15. Si día 15 cae en fin de semana, debe recorrerse a hábiles. NADA de esto está implementado. Adicionalmente la zona horaria CST está hardcoded contradiciendo D-001.</t>
  </si>
  <si>
    <t>Validado por BNO. Aplica y es crítico. Reimplementar ciclo de recordatorios con trigger basado en Fecha de próxima cuota desde API, delays por día 1/7/13/14/15 y regla de días hábiles.</t>
  </si>
  <si>
    <t>Re-implementar trigger completo: 'Basado en propiedad' detonado por 'Fecha de próxima cuota' (vía API), con escalonado día 1/7/13-14-15 mediante Retrasos + Si/Entonces. Aplicar regla de días hábiles. Eliminar hardcoded CST.</t>
  </si>
  <si>
    <t>CON-104</t>
  </si>
  <si>
    <t>WF-053 · f104</t>
  </si>
  <si>
    <t>Única acción es 'Inscribirse en una secuencia' con tokens {{sequenceId}} y {{senderType}} sin resolver (marca roja 'Se necesitan cambios'). El WF no puede ejecutarse. Además, no contempla canal WhatsApp que la minuta 5-mar-2026 declara obligatorio cuando el solicitante tiene número telefónico.</t>
  </si>
  <si>
    <t>Validado por BNO. Aplica. Resolver sequenceId/senderType o rediseñar como correos individuales + WhatsApp condicional. Mientras haya tokens sin resolver, el WF no es ejecutable.</t>
  </si>
  <si>
    <t>Definir sequenceId real (crear secuencias de cobranza) o reemplazar por flujo de correos individuales + integración WhatsApp Business API. Modelar el ciclo completo: día 1 correo, día 7 correo preventivo, día 13/14 correos, día 15 correo + tarea para Memo de llamada telefónica.</t>
  </si>
  <si>
    <t>CON-105</t>
  </si>
  <si>
    <t>WF-054 · f105</t>
  </si>
  <si>
    <t>WF-054</t>
  </si>
  <si>
    <t>WF-054 replica exactamente WF-053 con la única diferencia de la fecha anual (11 jun vs 1 jun) y un Retraso intermedio. Evidencia de que BNO modeló 3 WFs separados (053/054/055)</t>
  </si>
  <si>
    <t>Validado por BNO. Aplica como rediseño arquitectónico. Fusionar WF-053/054/055 en un solo ciclo de cobranza activa con lógica temporal interna y canales definidos.</t>
  </si>
  <si>
    <t>Fusionar WF-053 + 054 + 055 en un único WF 'Ciclo de recordatorios cobranza activa' detonado por evento (fecha próxima cuota), con escalonado interno (día 1, 7, 13, 14, 15) usando Retrasos. Aplicar días hábiles. Incluir canal WhatsApp condicional.</t>
  </si>
  <si>
    <t>CON-106</t>
  </si>
  <si>
    <t>WF-055 · f106</t>
  </si>
  <si>
    <t>WF-055</t>
  </si>
  <si>
    <t>El trigger requiere 'fecha de pago &gt; Hace más de 31 días' pero la primera notificación se llama 'Alerta Resumen Día 1 Post-Vencimiento' y la primera tarea 'Contactar solicitante: Mora Día 1'. Solo se dispara cuando la mora ya es de 31+ días, pero los mensajes hablan como si fuera día 1 confunde a ejecutivo y solicitante. Además el nombre del WF dice 'vencimiento 15' (pre-vencimiento) pero las acciones modelan post-vencimiento.</t>
  </si>
  <si>
    <t>Validado por BNO. Aplica. Alinear trigger, nombre y contenido a la etapa real de mora; no usar mensajes Día 1 si el disparador ocurre a 31+ días.</t>
  </si>
  <si>
    <t>Reescribir trigger, nombre y mensajería para que reflejen el momento real de mora. Si el WF es Día 1, debe disparar al primer día post-vencimiento; si dispara a 31+ días, renombrar y ajustar contenido a mora avanzada.</t>
  </si>
  <si>
    <t>CON-107</t>
  </si>
  <si>
    <t>WF-057 · f107</t>
  </si>
  <si>
    <t>WF-057</t>
  </si>
  <si>
    <t>Transiciona a 'Ejecución de Garantía' cuando Días de mora ≥ 61. Marca regulatoriamente el INICIO del proceso jurídico CNBV. Sin embargo solo cambia la propiedad — NO genera (a) notificación a Compliance/Dirección/Vian/Memo, (b) tarea de inicio de expediente jurídico, (c) registro de trazabilidad CNBV con fecha, monto, días acumulados, intentos previos. La etapa más crítica es la más pobre operativamente.</t>
  </si>
  <si>
    <t>Validado por BNO. Aplica y es crítico. Ejecución de Garantía requiere notificación, tarea jurídica y registro CNBV completo; no basta con cambiar etapa/propiedad.</t>
  </si>
  <si>
    <t>Agregar: (1) Notif a Compliance + Dirección + Finanzas + Memo con resumen; (2) Tarea para Memo/Jurídico 'Iniciar expediente jurídico' con SLA 48h; (3) Registro CNBV con propiedades de trazabilidad (fecha, monto exigible, tasa moratoria = doble del contrato, no 38% hardcoded).</t>
  </si>
  <si>
    <t>CON-108</t>
  </si>
  <si>
    <t>WF-058 · f108</t>
  </si>
  <si>
    <t>WF-058</t>
  </si>
  <si>
    <t>El WF 'propiedades de entrada' del refi solo setea 'Fecha de inicio de reestructura'. Un refi real requiere fijar además: (a) Tasa moratoria aplicable que según minuta es el DOBLE de la tasa del contrato (NO 38% fijo); (b) Nueva tabla de cuotas (siempre rendimiento fijo en refis); (c) Plazo extendido; (d) Monto refinanciado vs original. Sin estos datos, la tarea 'Generar nueva tabla de pagos' carece de inputs.</t>
  </si>
  <si>
    <t>Validado por BNO. Aplica y depende de datos fuente. Refi debe cargar tasa moratoria real, nueva tabla, plazo y monto desde Admin.Monific/API o quedar bloqueado hasta contar con esos datos.</t>
  </si>
  <si>
    <t>Agregar carga de propiedades desde Admin.Monific vía API: tasa moratoria refi (doble del contrato del proyecto), plazo nuevo, monto refinanciado, número de cuotas. Validar contra contrato firmado. Documentar que refi siempre es rendimiento fijo.</t>
  </si>
  <si>
    <t>CON-109</t>
  </si>
  <si>
    <t>WF-059 · f109</t>
  </si>
  <si>
    <t>WF-059</t>
  </si>
  <si>
    <t>Mueve a 'Cierre por refinanciamiento' cuando se cumplen las 3 condiciones (Refi + Tabla conocida + Comité=Sí). Sin embargo, solo cambia la propiedad y termina: NO genera notificación a Compliance/Dirección/Finanzas/Memo, ni tarea de archivo, ni reporte. la 'Aprobación de comité' es condición probatoria robusta, el único WF de cierre con esto.</t>
  </si>
  <si>
    <t>Validado por BNO. Aplica. Cierre por refinanciamiento debe generar notificaciones, tarea de archivo y registro trazable; usar aprobación de comité como evidencia probatoria.</t>
  </si>
  <si>
    <t>Agregar: (1) Notif a Compliance + Dirección + Finanzas + Memo con resumen del refi; (2) Tarea para Memo 'Archivar expediente refinanciamiento'; (3) Registro CNBV trazable. Considerar replicar la lógica de Aprobación de comité en WF-056 y WF-064 (que carecen de condición probatoria).</t>
  </si>
  <si>
    <t>CON-110</t>
  </si>
  <si>
    <t>WF-060 · f110</t>
  </si>
  <si>
    <t>WF-060</t>
  </si>
  <si>
    <t>El WF está registrado en HubSpot con nombre 'Notificaciones' pero su única acción es cambiar etapa a Ejecución de Garantía. NO envía NINGUNA notificación pese al nombre. Es un cierre crítico (refi rechazado → mora &gt;60d → jurídica CNBV) que requiere notificación urgente. El master por su parte llama al WF de manera distinta.</t>
  </si>
  <si>
    <t>Validado por BNO. Aplica y es crítico. Corregir nombre/propósito y agregar notificaciones reales a Compliance/Dirección/Vian/Memo más tarea jurídica compartida con WF-057.</t>
  </si>
  <si>
    <t>Decidir nombre canónico y propagar a Master + HubSpot. Implementar notificaciones reales: notif inmediata a Compliance + Dirección + Vian + Memo con detalle del rechazo (razón, monto, mora). Agregar tarea de inicio de proceso jurídico (compartida con WF-057).</t>
  </si>
  <si>
    <t>CON-111</t>
  </si>
  <si>
    <t>WF-061 · f111</t>
  </si>
  <si>
    <t>WF-061</t>
  </si>
  <si>
    <t>WF-061 implementa correctamente Semáforo=Crítico, Fecha envío garantía, Estatus jurídico=Iniciado, y dispara 1 notif + 2 tareas (mejor que WF-057). PROBLEMAS: (a) Raquel y Vianey hardcoded; (b) Memo NO recibe notificación pese a haber gestionado el ticket; (c) Compliance NO recibe pese a ser etapa CNBV; (d) Sin tarea para asesor jurídico externo; (e) Las tareas a Vian describen análisis financiero pero NO incluyen brief jurídico.</t>
  </si>
  <si>
    <t>Validado por BNO. Aplica. Mantener lo ya correcto del WF-061, pero reemplazar nombres hardcoded por roles e incluir Memo, Compliance y asesor jurídico externo según definición Monific.</t>
  </si>
  <si>
    <t>Agregar a la notif: Memo, Compliance, asesor jurídico externo. Reemplazar hardcoded por reglas de rol: Memo recibe handoff, Vian recibe análisis financiero, Compliance recibe paquete regulatorio. Agregar tarea 'Brief jurídico para asesor externo' asignada a Memo o Vian. Agregar registro de trazabilidad CNBV.</t>
  </si>
  <si>
    <t>CON-112</t>
  </si>
  <si>
    <t>WF-062 · f112</t>
  </si>
  <si>
    <t>WF-062</t>
  </si>
  <si>
    <t>PATRÓN SISTÉMICO en las 3 etapas terminales CNBV (Cierre Refi, Liquidada, Incumplimiento): los WFs de 'propiedades de entrada' son insuficientes. WF-062 solo setea 1 propiedad. WF-063 setea 4 propiedades trazables pero CERO notificaciones. WF-064 tiene notif pero solo a Raquel hardcoded. Las tres son reportables a CNBV y requieren: notificación consistente por rol, propiedades trazables completas, registro CNBV. La inconsistencia revela falta de template/SOP de cierre regulatorio.</t>
  </si>
  <si>
    <t>Validado por BNO. Aplica como patrón sistémico. Crear template/SOP único de cierre regulatorio CNBV para Refi, Liquidada e Incumplimiento con propiedades, notificaciones, registro y archivo.</t>
  </si>
  <si>
    <t>Crear template canónico de 'Cierre regulatorio CNBV' que los 3 WFs adopten: (1) Propiedades completas (Historial pago, Estado crédito final, Monto recuperado, Fecha cierre); (2) Notificación por rol a Compliance + Dirección + Vian + Memo; (3) Registro CNBV trazable con todas las propiedades; (4) Tarea de archivo de expediente. WF-059 (Aprobación comité) puede inspirar.</t>
  </si>
  <si>
    <t>CON-113</t>
  </si>
  <si>
    <t>2ª Auditoría</t>
  </si>
  <si>
    <t>BIT-001</t>
  </si>
  <si>
    <t>Equipos</t>
  </si>
  <si>
    <t>Transversal</t>
  </si>
  <si>
    <t>ARI (FR/EM) quedó en el equipo "Legal" compartido con Compliance Monific (emiliano@monific.com), sin equipo dedicado.</t>
  </si>
  <si>
    <t>Compartido BNO+Monific</t>
  </si>
  <si>
    <t>Sigue mal (abierto)</t>
  </si>
  <si>
    <t>Crear equipo dedicado "Despacho Externo ARI" y separar a Compliance interno; revisar qué WFs/objetos notifican o comparten con "Legal".</t>
  </si>
  <si>
    <t>HubSpot Users&amp;Teams: equipo "Legal" = Evelyn Montes (emontes@fulmentfi.com), FRANCISCO RODRIGUEZ (direccion@fulmentfi.com), Miguel Emiliano Chacon Lopez (emiliano@monific.com).</t>
  </si>
  <si>
    <t>Auditoría: Abierto</t>
  </si>
  <si>
    <t>2026-06-08 00:00:00</t>
  </si>
  <si>
    <t>CON-114</t>
  </si>
  <si>
    <t>BIT-002</t>
  </si>
  <si>
    <t>Nuevo ARI</t>
  </si>
  <si>
    <t>02 Solicitante</t>
  </si>
  <si>
    <t>WF-016 / Solicitantes Etapa 03 Nº02</t>
  </si>
  <si>
    <t>El WF "Notificación interna a involucrados" notifica al equipo "Legal" (donde hoy está ARI), exponiendo pipeline interno de Solicitantes a un despacho externo.</t>
  </si>
  <si>
    <t>Cambiar destinatario de "Legal" a "Evaluación Jurídica" (EEJ), que es el equipo que el master pretendía; excluir al equipo donde está ARI.</t>
  </si>
  <si>
    <t>Canvas flow 1808311603: "Enviar … a Marketing y Legal." Master declara "involucrados (EEJ y MKT)" (maestro fila 43).</t>
  </si>
  <si>
    <t>CON-115</t>
  </si>
  <si>
    <t>BIT-004</t>
  </si>
  <si>
    <t>Re-validación</t>
  </si>
  <si>
    <t>05 Cobranza</t>
  </si>
  <si>
    <t>WF-050 / Cobranza Etapa 01 Nº01</t>
  </si>
  <si>
    <t>WF de asignación de propietario sigue apuntando al equipo "Atención al Cliente" en vez del equipo "Cobranza". Sin cambio respecto a 1ª pasada.</t>
  </si>
  <si>
    <t>Sin cambio</t>
  </si>
  <si>
    <t>Cambiar el target del round-robin al equipo "Cobranza".</t>
  </si>
  <si>
    <t>Canvas flow 1820379477: "Rotar … Asignar a Usuarios y equipos específicos → Atención al Cliente (2), Distribución Rotación".</t>
  </si>
  <si>
    <t>Auditoría: Sin cambio</t>
  </si>
  <si>
    <t>CON-116</t>
  </si>
  <si>
    <t>BIT-011</t>
  </si>
  <si>
    <t>Reinscripción desactivada: si el comité aprueba tras entrar a Evaluación (caso normal), el WF no dispara y el negocio se atora en Evaluación.</t>
  </si>
  <si>
    <t>Activar reinscripción o cambiar trigger a 'Resolución de Comité cambia a Aprobado'. Probar en sandbox con decisión previa y posterior al ingreso.</t>
  </si>
  <si>
    <t>Flow 1807924876 'Etapa 02 Nº01 Cambio de etapa a Formalización'. Trigger: Pipeline Solicitantes + Etapa=Evaluación + Resolución de Comité=Aprobado, con 'Reinscripción desactivada' visible en canvas.</t>
  </si>
  <si>
    <t>Re-validación; actualiza fila 22.0 de la 1ª pasada</t>
  </si>
  <si>
    <t>2026-06-09 00:00:00</t>
  </si>
  <si>
    <t>CON-117</t>
  </si>
  <si>
    <t>BIT-012</t>
  </si>
  <si>
    <t>Al mover a Formalización no se escribe Fecha de cambio de etapa ni Origen del cambio. Sin trazabilidad CNBV de quién/qué movió el negocio.</t>
  </si>
  <si>
    <t>Agregar acciones Editar registro: Fecha cambio etapa a Formalización y Origen=WF-008. Replicar en WF-009/015/018/022.</t>
  </si>
  <si>
    <t>Flow 1807924876. Única acción es '1. Editar registro' que define Pipeline y etapa=Formalización; no hay acción que escriba fecha de cambio ni origen.</t>
  </si>
  <si>
    <t>Re-validación; actualiza fila 23.0 de la 1ª pasada</t>
  </si>
  <si>
    <t>CON-118</t>
  </si>
  <si>
    <t>BIT-014</t>
  </si>
  <si>
    <t>Reinscripción desactivada en rechazos: si el comité rechaza tras entrar a Evaluación (caso normal), el WF no dispara y el negocio no pasa a Cierre Perdido.</t>
  </si>
  <si>
    <t>Activar reinscripción o disparar por 'Resolución de Comité cambia a Rechazado'.</t>
  </si>
  <si>
    <t>Flow 1807927041 'Etapa 02 Nº02 Cambio de etapa a perdido'. Trigger: Evaluación + Resolución de Comité=Rechazado, 'Reinscripción desactivada' visible.</t>
  </si>
  <si>
    <t>Re-validación; actualiza fila 25.0 de la 1ª pasada</t>
  </si>
  <si>
    <t>CON-119</t>
  </si>
  <si>
    <t>BIT-015</t>
  </si>
  <si>
    <t>Al mover a Cierre Perdido no escribe Fecha de cambio de etapa ni Origen del cambio. Sin trazabilidad CNBV en rechazos.</t>
  </si>
  <si>
    <t>Agregar acciones Editar registro: Fecha cambio etapa y Origen=WF-009.</t>
  </si>
  <si>
    <t>Flow 1807927041: única acción '1. Editar registro' define etapa=Cierre perdido; no escribe fecha de cambio ni origen.</t>
  </si>
  <si>
    <t>Re-validación; actualiza fila 26.0 de la 1ª pasada</t>
  </si>
  <si>
    <t>CON-120</t>
  </si>
  <si>
    <t>BIT-016</t>
  </si>
  <si>
    <t>FUGA ARI adicional a BIT-002: la acción 1 envía notificación interna al equipo 'Legal', donde hoy está ARI (FR/EM). ARI recibe avisos del pipeline de Solicitantes en Evaluación.</t>
  </si>
  <si>
    <t>Sacar a ARI de 'Legal' (equipo dedicado) o cambiar destinatario a equipo interno de Compliance. Mismo arreglo que BIT-002.</t>
  </si>
  <si>
    <t>Flow 1808160659 'Etapa 02 Nº03 Correo interno a involucrados'. Acción 1: 'Enviar notificación interna por correo... a Legal'. Equipo Legal contiene a ARI (Fulmentfi).</t>
  </si>
  <si>
    <t>CON-121</t>
  </si>
  <si>
    <t>BIT-017</t>
  </si>
  <si>
    <t>Acción 4 'Enviar correo Notificacion al DG' va a 'Todos los contactos asociados', lo que incluye al solicitante. Filtración de comunicación interna al cliente.</t>
  </si>
  <si>
    <t>Cambiar destinatario a un usuario/rol interno (DG) en vez de 'Todos los contactos asociados'. Es notificación interna, no debe ir al cliente.</t>
  </si>
  <si>
    <t>Flow 1808160659, acción 4: 'Enviar Notificacion al DG de avance de solicitante a los contactos asociados con la etiqueta Todos los contactos asociados'.</t>
  </si>
  <si>
    <t>Re-validación; actualiza fila 27.0 de la 1ª pasada</t>
  </si>
  <si>
    <t>CON-122</t>
  </si>
  <si>
    <t>BIT-020</t>
  </si>
  <si>
    <t>Trigger solo dispara si Resolución=Aprobado y reinscripción desactivada. En rechazos o si la decisión se setea tras el ingreso, la Fecha de decisión nunca se registra. Rompe SLA/trazabilidad.</t>
  </si>
  <si>
    <t>Disparar por 'Resolución de Comité cambia' (Aprobado o Rechazado) y activar reinscripción, para registrar fecha en todos los casos.</t>
  </si>
  <si>
    <t>Flow 1807992844 'Etapa 02 Nº05 fijar Fecha de decisión del comité'. Trigger: Evaluación + Resolución=Aprobado, 'Reinscripción desactivada'. Acción: define fecha=fecha de ejecución.</t>
  </si>
  <si>
    <t>Re-validación; actualiza fila 32.0 de la 1ª pasada</t>
  </si>
  <si>
    <t>CON-123</t>
  </si>
  <si>
    <t>BIT-021</t>
  </si>
  <si>
    <t>Trigger solo Resolución=Aprobado con reinscripción desactivada. Si la decisión se setea tras el ingreso a Evaluación, la tarea de carta de aceptación nunca se crea.</t>
  </si>
  <si>
    <t>Disparar por cambio de propiedad Resolución=Aprobado y activar reinscripción.</t>
  </si>
  <si>
    <t>Flow 1807930283 'Etapa 02 Nº06 Crear tarea carta de aceptación'. Trigger: Evaluación + Resolución=Aprobado, 'Reinscripción desactivada'.</t>
  </si>
  <si>
    <t>Re-validación; actualiza fila 35.0 de la 1ª pasada</t>
  </si>
  <si>
    <t>CON-124</t>
  </si>
  <si>
    <t>BIT-023</t>
  </si>
  <si>
    <t>WF DESACTIVADO en HubSpot (master dice 'Encendido'). Las solicitudes rechazadas no generan tarea de carta de rechazo; el solicitante nunca recibe notificación formal.</t>
  </si>
  <si>
    <t>Decidir si debe activarse; si sí, corregir trigger (cambio de propiedad) y reinscripción antes de activar. Alinear con master.</t>
  </si>
  <si>
    <t>Flow 1808048197 'Etapa 02 Nº07 Crear tarea carta de rechazo'. Badge 'DESACTIVADA'; botón 'Revisar y activar'. Trigger: Evaluación + Resolución=Rechazado.</t>
  </si>
  <si>
    <t>Re-validación; actualiza fila 38.0 de la 1ª pasada</t>
  </si>
  <si>
    <t>CON-125</t>
  </si>
  <si>
    <t>BIT-024</t>
  </si>
  <si>
    <t>Pasa a Proceso de firma sin escribir Fecha de cambio etapa ni Origen; reinscripción desactivada (si Estatus=Liquidada se setea en la etapa, el WF no dispara). Etapa crítica de firma.</t>
  </si>
  <si>
    <t>Agregar escritura de Fecha cambio etapa + Origen=WF-015 y disparar por cambio de propiedad; activar reinscripción.</t>
  </si>
  <si>
    <t>Flow 1808166282 'Etapa 03 Nº01 Cambio a proceso de firma'. Trigger: Formalización + Estatus de formalización=Liquidada, 'Reinscripción desactivada'. Única acción: edita etapa.</t>
  </si>
  <si>
    <t>Re-validación; actualiza fila 41.0 de la 1ª pasada</t>
  </si>
  <si>
    <t>CON-126</t>
  </si>
  <si>
    <t>BIT-026</t>
  </si>
  <si>
    <t>Ampliación de BIT-002: confirmado en canvas que la única acción notifica 'a Marketing y Legal'. ARI (en equipo Legal) sigue recibiendo el aviso de inicio de gestiones. No duplicar BIT-002.</t>
  </si>
  <si>
    <t>Mismo arreglo que BIT-002: sacar a ARI de 'Legal' o redirigir a equipo interno. Decidir corte inmediato vs esperar arreglo BNO.</t>
  </si>
  <si>
    <t>Flow 1808311603 'Etapa 03 Nº02 Notificación interna a involucrados'. Acción 1: 'Enviar Inicio de gestiones internas... a Marketing y Legal'. Confirma BIT-002.</t>
  </si>
  <si>
    <t>CON-127</t>
  </si>
  <si>
    <t>BIT-027</t>
  </si>
  <si>
    <t>El escalamiento por formalización estancada (&gt;2 días) se envía al mismo 'Propietario del negocio' que está estancado, no a un superior. El escalamiento no cumple su propósito.</t>
  </si>
  <si>
    <t>Redirigir escalamiento a rol superior (jefe de Formalización), no al propietario estancado.</t>
  </si>
  <si>
    <t>Flow 1808313453 'Etapa 03 Nº03 Notificación interna a superior estancado'. Acción 1: 'Atender escalamiento por formalización pendiente a Propietario del negocio'.</t>
  </si>
  <si>
    <t>Re-validación; actualiza fila 46.0 de la 1ª pasada</t>
  </si>
  <si>
    <t>CON-128</t>
  </si>
  <si>
    <t>BIT-030</t>
  </si>
  <si>
    <t>WF-018</t>
  </si>
  <si>
    <t>Al pasar a Cierre Ganado no escribe Fecha de cambio de etapa ni Origen. Mismo gap de trazabilidad CNBV que WF-008/009/015. WF-018 no estaba auditado en el maestro.</t>
  </si>
  <si>
    <t>Agregar Editar registro: Fecha cambio etapa a Ganado y Origen=WF-018.</t>
  </si>
  <si>
    <t>Flow 1808711272: acciones son '1. Editar registro' (etapa a Ganado) y '2. notificación'. Ninguna escribe Fecha de cambio ni Origen.</t>
  </si>
  <si>
    <t>CON-129</t>
  </si>
  <si>
    <t>BIT-032</t>
  </si>
  <si>
    <t>WF DESACTIVADO (master lo marca 'Implementado'). La cadena WF-019-&gt;WF-020 queda rota: se setea la bandera pero la secuencia de firma nunca se envía al solicitante.</t>
  </si>
  <si>
    <t>Validar el correo de la secuencia y activar el WF. Decisión de Raquel sobre contenido.</t>
  </si>
  <si>
    <t>Flow 1808682771 'Etapa 04 Nº03 Enviar secuencia'. Badge 'DESACTIVADA'. Trigger: contactos con 'Inscribir en secuencia de firma=Sí'; inscribe en secuencia 'WF - Notificar aprobación de credito firma'.</t>
  </si>
  <si>
    <t>Re-validación; actualiza fila 51.0 de la 1ª pasada</t>
  </si>
  <si>
    <t>CON-130</t>
  </si>
  <si>
    <t>BIT-035</t>
  </si>
  <si>
    <t>Mueve a Cierre Perdido sin setear 'Razón de cierre perdido', sin crear tarea para documentar/subir carta, y sin Fecha de cambio etapa ni Origen.</t>
  </si>
  <si>
    <t>Agregar: setear Razón de cierre perdido, crear tarea de documentación y escribir Fecha cambio etapa + Origen=WF-022.</t>
  </si>
  <si>
    <t>Flow 1808890501: única acción '1. Editar registro' define etapa=Cierre perdido; sin razón de cierre, sin tarea, sin fecha/origen.</t>
  </si>
  <si>
    <t>Re-validación; actualiza fila 54.0 de la 1ª pasada</t>
  </si>
  <si>
    <t>CON-131</t>
  </si>
  <si>
    <t>BIT-037</t>
  </si>
  <si>
    <t>BUG CONFIRMADO: el WF 'Establecer propiedades de perdido' tiene trigger Etapa=Cierre GANADO (debería ser Perdido). Además define Fecha de cierre. Se dispara en ganados, no en perdidos.</t>
  </si>
  <si>
    <t>Corregir trigger a Etapa=Cierre perdido y revisar que las propiedades correspondan a perdido (no Fecha de cierre).</t>
  </si>
  <si>
    <t>Flow 1808747845 'Etapa 06: Perdido Nº01 Establecer propiedades de perdido'. Trigger: 'Etapa del negocio es cualquiera de Cierre ganado'. Acción 1 define Fecha de cierre.</t>
  </si>
  <si>
    <t>Re-validación; actualiza fila 56.0 de la 1ª pasada</t>
  </si>
  <si>
    <t>CON-132</t>
  </si>
  <si>
    <t>BIT-041</t>
  </si>
  <si>
    <t>01 Inversionista</t>
  </si>
  <si>
    <t>BUG copy-paste de WF-025: el flow 'Cambio de etapa a congelado' en realidad mueve el negocio a Inversionista Activo. Nunca congela.</t>
  </si>
  <si>
    <t>Corregir acción para que defina la etapa como Congelado, no Activo.</t>
  </si>
  <si>
    <t>Flow 1808819073 'Perfil Nº02 Cambio de etapa a congelado'. Trigger: Perfil Activo + &gt;15 días. Acción '1. Editar registro: Define etapa como Inversionista Activo' (debería ser Congelado).</t>
  </si>
  <si>
    <t>CON-133</t>
  </si>
  <si>
    <t>BIT-042</t>
  </si>
  <si>
    <t>CLABE STP hardcodeada al literal '1'. El dato financiero (CLABE 18 dígitos de STP) debe venir de Admin.Monific, no fijarse en 1.</t>
  </si>
  <si>
    <t>Monific – Tech (Jesús)</t>
  </si>
  <si>
    <t>Reemplazar el valor fijo por integración que traiga la CLABE STP real del inversionista desde Admin.Monific.</t>
  </si>
  <si>
    <t>Flow 1808747892 'Perfil Nº03 Actualizar propiedades de negocio'. Acción '2. Editar registro: Define CLABE STP como 1'.</t>
  </si>
  <si>
    <t>CON-134</t>
  </si>
  <si>
    <t>BIT-051</t>
  </si>
  <si>
    <t>Monto de primera inversión hardcodeado a 0. Dato financiero clave queda en cero fijo, no toma el monto real invertido. Riesgo CNBV de integridad de datos.</t>
  </si>
  <si>
    <t>Tomar el monto real de la primera inversión desde Admin.Monific en vez de fijar 0.</t>
  </si>
  <si>
    <t>Flow 1808890885. Acción '2. Editar registro: Define Monto de primera inversión como 0'.</t>
  </si>
  <si>
    <t>CON-135</t>
  </si>
  <si>
    <t>BIT-053</t>
  </si>
  <si>
    <t>Tokens sin resolver: la acción de inscribir en secuencia usa {{ sequenceId }} y {{ senderType }} literales. HubSpot marca 'Se necesitan cambios'. El flow nunca funcionará.</t>
  </si>
  <si>
    <t>Configurar secuencia real y remitente; eliminar tokens sin resolver.</t>
  </si>
  <si>
    <t>Flow 1808851292 'Activo Nº04 Realizar envio de secuencia'. Nodo '1. Inscribirse en una secuencia: Se necesitan cambios - Inscribir al contacto en {{ sequenceId }} de {{ senderType }}'.</t>
  </si>
  <si>
    <t>CON-136</t>
  </si>
  <si>
    <t>BIT-059</t>
  </si>
  <si>
    <t>BUG: en vez de notificar el cierre, el flow REGRESA el negocio de Cierre a Inversionista Activo (define etapa 1341314730). Corrompe el journey y no envía ninguna notificación.</t>
  </si>
  <si>
    <t>Reemplazar la acción de cambio de etapa por la notificación interna prevista; no revertir el cierre.</t>
  </si>
  <si>
    <t>Flow 1808890376 'Cierre Nº01 Notificaciones internas'. Trigger Etapa=1341314732 (Cierre). Acción '1. Editar registro: define etapa como 1341314730' (= Inversionista Activo).</t>
  </si>
  <si>
    <t>CON-137</t>
  </si>
  <si>
    <t>BIT-070</t>
  </si>
  <si>
    <t>04 ATC</t>
  </si>
  <si>
    <t>WF sigue DESACTIVADO y sin acciones (Trigger -&gt; Fin). No crea la tarea automatica Tipo C a Guillermo con SLA que pide la minuta marzo 2026.</t>
  </si>
  <si>
    <t>Construir accion: crear tarea a Guillermo con SLA (1h) y setear Fecha escalamiento Tipo C; luego activar el WF.</t>
  </si>
  <si>
    <t>Flow ID 1822136840. DESACTIVADA (boton 'Revisar y activar'). Trigger Grupo 1: Estado del ticket = En atencion (Servicio al Cliente) Y Tipo de ticket = Solicitante. Cuerpo: ninguna accion, va directo a 'Fin'.</t>
  </si>
  <si>
    <t>Re-validación; actualiza fila 96 de la 1ª pasada</t>
  </si>
  <si>
    <t>2026-06-09</t>
  </si>
  <si>
    <t>CON-138</t>
  </si>
  <si>
    <t>BIT-076</t>
  </si>
  <si>
    <t>El cierre dispara solo con Estado=Cerrado, sin validacion previa (confirmacion de cliente, nota de resolucion ni validacion de superior). Cualquier cierre manual lo activa.</t>
  </si>
  <si>
    <t>Agregar condiciones de cierre valido (nota de resolucion obligatoria, confirmacion de cliente) antes de permitir el cierre.</t>
  </si>
  <si>
    <t>Flow ID 1822136625. Trigger Grupo 1 unica condicion: 'Estado del ticket es cualquiera de Cerrado (Servicio al Cliente)'. Accion 1: Define Fecha de cierre = fecha de ejecucion. WF Activado.</t>
  </si>
  <si>
    <t>Re-validación; actualiza fila 100 de la 1ª pasada</t>
  </si>
  <si>
    <t>CON-139</t>
  </si>
  <si>
    <t>BIT-077</t>
  </si>
  <si>
    <t>Rama Tipo E (Reclamacion formal UNE) NO setea la propiedad 'Proceso UNE Activo = Si'. El proceso UNE no queda marcado en el sistema.</t>
  </si>
  <si>
    <t>Agregar en rama Tipo E una accion que setee 'Proceso UNE Activo = Si'.</t>
  </si>
  <si>
    <t>Flow ID 1822136625. Nodo '2. Ramificacion': 'Ve a Tipo E si se cumplen estos criterios: Tipo de ticket es Reclamacion formal UNE'. La rama Tipo E solo tiene la accion 3 (correo); no hay nodo Editar registro que setee 'Proceso UNE Activo'.</t>
  </si>
  <si>
    <t>CON-140</t>
  </si>
  <si>
    <t>BIT-078</t>
  </si>
  <si>
    <t>Rama Tipo E NO crea expediente espejo en el pipeline UNE. La reclamacion CNBV no genera registro formal en el pipeline UNE.</t>
  </si>
  <si>
    <t>Agregar accion que cree el expediente espejo en el pipeline UNE al detectar Tipo E.</t>
  </si>
  <si>
    <t>Flow ID 1822136625. Rama Tipo E del nodo Ramificacion solo ejecuta '3. Enviar notificacion interna por correo' y termina en End. No hay accion de crear registro/ticket en pipeline UNE.</t>
  </si>
  <si>
    <t>CON-141</t>
  </si>
  <si>
    <t>BIT-079</t>
  </si>
  <si>
    <t>Rama Tipo E NO genera folio UNE con formato CNBV. La reclamacion formal no obtiene identificador regulatorio.</t>
  </si>
  <si>
    <t>Agregar generacion de folio UNE con formato CNBV (prefijo + consecutivo) en la rama Tipo E. Generacion tecnica la coordina Monific-Tech (Jesus).</t>
  </si>
  <si>
    <t>Flow ID 1822136625. Rama Tipo E unicamente envia correo 'REGISTRO UNE: Tipo E | Ticket #'. No hay accion que genere ni setee un folio UNE con formato CNBV.</t>
  </si>
  <si>
    <t>CON-142</t>
  </si>
  <si>
    <t>BIT-080</t>
  </si>
  <si>
    <t>La notificacion de la rama Tipo E (UNE) va solo a 'Raquel Alfie' hardcoded; NO notifica a Compliance (emiliano@monific.com) ni a Direccion.</t>
  </si>
  <si>
    <t>Notificar a Compliance + Direccion + responsable UNE por rol/equipo; quitar usuario hardcoded.</t>
  </si>
  <si>
    <t>Flow ID 1822136625. Accion '3. Enviar notificacion interna por correo': "Enviar REGISTRO UNE: Tipo E | Ticket # [Nombre del ticket] a Raquel Alfie". Unico destinatario.</t>
  </si>
  <si>
    <t>Re-validación; actualiza fila 101 de la 1ª pasada</t>
  </si>
  <si>
    <t>CON-143</t>
  </si>
  <si>
    <t>BIT-081</t>
  </si>
  <si>
    <t>Nuevo cambio modelo BNO-TI</t>
  </si>
  <si>
    <t>WF-049 no bloquea el cierre del ticket Servicio hasta documentar el UNE: el ticket ya esta Cerrado cuando dispara y la rama Tipo E solo envia correo.</t>
  </si>
  <si>
    <t>Impedir cierre del ticket Servicio mientras 'Proceso UNE Activo = Si' y el expediente UNE no este documentado (bloqueo/regreso de etapa).</t>
  </si>
  <si>
    <t>Flow ID 1822136625. Trigger es Estado=Cerrado (el cierre ya ocurrio). Rama Tipo E: solo correo -&gt; End. No hay gate ni reversion de etapa mientras UNE no este documentado.</t>
  </si>
  <si>
    <t>CON-144</t>
  </si>
  <si>
    <t>BIT-082</t>
  </si>
  <si>
    <t>Otro</t>
  </si>
  <si>
    <t>Existe pipeline UNE construido con su propio WF (incluye generacion de Folio UNE) pero esta DESACTIVADO con 0 inscritos; y WF-049 no lo alimenta. El flujo UNE esta inoperante de punta a punta.</t>
  </si>
  <si>
    <t>Activar el WF del pipeline UNE y conectar WF-049 para que cree el expediente en pipeline UNE; validar folio CNBV. Coordinacion BNO (construccion) + Monific-Tech (Jesus).</t>
  </si>
  <si>
    <t>Flow ID 1822147164 '04. Tickets | 03. UNE | Etapa 01: Abierto | N01 | Propiedades de entrada': DESACTIVADA, 0 inscritos. Trigger Estado=Abierto (UNE). Accion 1 define Folio UNE como 'UNE - [Fecha de creacion]'. Ningun WF crea tickets en pipeline UNE (ver BIT-078).</t>
  </si>
  <si>
    <t>CON-145</t>
  </si>
  <si>
    <t>BIT-093</t>
  </si>
  <si>
    <t>WF-057 transicion a Ejecucion de Garantia (Dia 61+) SOLO cambia de etapa: no notifica a Compliance/Direccion/Memo, no crea tarea juridica, no registra trazabilidad CNBV.</t>
  </si>
  <si>
    <t>Agregar notificacion a Compliance/Direccion, tarea juridica y seteo de propiedades CNBV al entrar a Ejecucion de Garantia.</t>
  </si>
  <si>
    <t>Flow 1820915286. Trigger: Estado de ticket = Cobranza Activa Y Dias de mora &gt;= 61. Accion unica: Editar registro -&gt; estado Ejecucion de Garantia. Sin mas acciones.</t>
  </si>
  <si>
    <t>CON-146</t>
  </si>
  <si>
    <t>BIT-094</t>
  </si>
  <si>
    <t>WF-057 mueve a Ejecucion de Garantia (Dia 61+) sin incorporar al despacho externo (ARI), que segun acuerdo es abogado externo por default en esta etapa.</t>
  </si>
  <si>
    <t>Despacho externo (ARI)</t>
  </si>
  <si>
    <t>Asignar a ARI (futuro equipo 'Despacho externo') la responsabilidad juridica al entrar a Ejecucion de Garantia, via tarea y notificacion.</t>
  </si>
  <si>
    <t>Flow 1820915286. La transicion a Ejecucion de Garantia no genera ninguna asignacion ni notificacion al despacho (ARI).</t>
  </si>
  <si>
    <t>CON-147</t>
  </si>
  <si>
    <t>BIT-099</t>
  </si>
  <si>
    <t>WF-060 mueve a Ejecucion de Garantia (rechazo de comite) sin notificar a Compliance/Direccion, sin crear tarea juridica y sin incorporar al despacho externo (ARI).</t>
  </si>
  <si>
    <t>Al rechazo de comite, notificar a Compliance/Direccion, crear tarea juridica y asignar a ARI como abogado externo por default.</t>
  </si>
  <si>
    <t>Flow 1820907946. Tras rechazo de comite el ticket pasa a Ejecucion de Garantia sin ninguna accion de notificacion ni asignacion juridica (ARI).</t>
  </si>
  <si>
    <t>CON-148</t>
  </si>
  <si>
    <t>BIT-100</t>
  </si>
  <si>
    <t>WF-061 (Ejecucion de Garantia) tiene hardcoded a Vianey/Raquel: notif accion 4 a Raquel Alfie y Vianey Correa; tareas 5 y 6 asignadas a Vianey Correa.</t>
  </si>
  <si>
    <t>Reemplazar destinatarios y asignatarios fijos por equipo/rol (Cobranza, Direccion, Juridico).</t>
  </si>
  <si>
    <t>Flow 1820908035. Accion 4 'NOTIFICACION CRITICA: Inicio de Etapa de Ejecucion de Garantia' a Raquel Alfie y Vianey Correa. Accion 5 'Revision de Expediente' y accion 6 'Coordinar sesion de comite' asignadas a Vianey Correa.</t>
  </si>
  <si>
    <t>CON-149</t>
  </si>
  <si>
    <t>BIT-101</t>
  </si>
  <si>
    <t>WF-061 no incluye al despacho externo (ARI) ni en la notificacion critica ni en las tareas juridicas (Revision de Expediente, Coordinar comite). ARI es abogado por default en Dia 61+.</t>
  </si>
  <si>
    <t>Incluir a ARI (equipo 'Despacho externo') como destinatario de la notificacion critica y asignatario de las tareas juridicas de Ejecucion de Garantia.</t>
  </si>
  <si>
    <t>Flow 1820908035. Destinatarios de notif y asignatarios de tareas: Raquel/Vianey. No aparece ARI ni el futuro equipo 'Despacho externo'.</t>
  </si>
  <si>
    <t>CON-150</t>
  </si>
  <si>
    <t>BIT-102</t>
  </si>
  <si>
    <t>WF-061 notif critica no incluye a Memo ni a Compliance. No setea propiedades regulatorias CNBV (Monto recuperado, Fecha reporte CNBV); solo Semaforo, Fecha de envio a garantia y Estatus juridico.</t>
  </si>
  <si>
    <t>Agregar Memo y Compliance a la notificacion y setear propiedades regulatorias CNBV de la etapa terminal.</t>
  </si>
  <si>
    <t>Flow 1820908035. Acciones 1-3: Semaforo=Critico, Fecha de envio a garantia, Estatus del proceso juridico=Iniciado. Sin propiedades CNBV (Monto recuperado, Fecha reporte CNBV) ni destinatarios Memo/Compliance.</t>
  </si>
  <si>
    <t>CON-151</t>
  </si>
  <si>
    <t>BIT-103</t>
  </si>
  <si>
    <t>WF-062 (Cierre por refinanciamiento, etapa terminal) solo setea 'Fecha de cierre'. No setea Estado credito final, Monto recuperado ni Fecha reporte CNBV; no notifica a Compliance.</t>
  </si>
  <si>
    <t>Setear propiedades regulatorias CNBV (Estado credito final, Monto recuperado, Fecha reporte CNBV) y notificar a Compliance al cerrar por refinanciamiento.</t>
  </si>
  <si>
    <t>Flow 1820906657. Trigger: Estado de ticket = Cierre por refinanciamiento. Accion unica: Editar registro -&gt; Fecha de cierre = fecha de ejecucion. Estructura minima.</t>
  </si>
  <si>
    <t>CON-152</t>
  </si>
  <si>
    <t>BIT-104</t>
  </si>
  <si>
    <t>WF-063</t>
  </si>
  <si>
    <t>WF-063 (Campana Liquidada) setea 4 propiedades (Fecha liquidacion, Fecha cierre, Historial de pago=Limpio, Estado credito final=Activo) pero falta Monto recuperado y Fecha reporte CNBV; no notifica a Compliance.</t>
  </si>
  <si>
    <t>Agregar Monto recuperado y Fecha reporte CNBV, notificar a Compliance y generar reporte regulatorio de liquidacion.</t>
  </si>
  <si>
    <t>Flow 1822135185. Acciones: Fecha de liquidacion, Fecha de cierre, Historial de pago=Limpio, Estado de credito final=Activo. Sin Monto recuperado/Fecha reporte CNBV ni notif Compliance.</t>
  </si>
  <si>
    <t>CON-153</t>
  </si>
  <si>
    <t>BIT-106</t>
  </si>
  <si>
    <t>WF-064</t>
  </si>
  <si>
    <t>WF-064 (Cierre por Incumplimiento) NO setea Historial de pago = Sucio ni Estado de credito final = Incumplido. Solo setea fechas de cierre. Falta trazabilidad CNBV clave.</t>
  </si>
  <si>
    <t>Agregar acciones Editar registro: Historial de pago = Sucio y Estado de credito final = Incumplido.</t>
  </si>
  <si>
    <t>Flow 1822086313. Acciones: 1) Fecha de cierre por incumplimiento, 2) Fecha de cierre, 3) Notif. Sin Historial=Sucio ni Estado de credito final=Incumplido.</t>
  </si>
  <si>
    <t>CON-154</t>
  </si>
  <si>
    <t>BIT-107</t>
  </si>
  <si>
    <t>WF-064 notif 'Cierre por Incumplimiento' va hardcoded solo a Raquel. No incluye Compliance, Memo ni al despacho externo (ARI) que llevo la ejecucion.</t>
  </si>
  <si>
    <t>Reemplazar a Raquel por equipo/rol y agregar Compliance, Direccion y ARI como destinatarios del cierre por incumplimiento.</t>
  </si>
  <si>
    <t>Flow 1822086313, accion 3 'Enviar notificacion interna por correo': 'Notificacion de Cierre por Incumplimiento de Pago | Nombre del ticket' a Raquel.</t>
  </si>
  <si>
    <t>CON-155</t>
  </si>
  <si>
    <t>BIT-108</t>
  </si>
  <si>
    <t>Ninguna etapa terminal CNBV de Cobranza genera reporte regulatorio. WF-064 (Incumplimiento) cierra sin Monto recuperado ni Fecha reporte CNBV ni proceso de reporte a CNBV.</t>
  </si>
  <si>
    <t>Definir e implementar el proceso de reporte regulatorio CNBV para las 3 etapas terminales (Liquidada, Cierre Refi, Incumplimiento), con seteo de Fecha reporte CNBV y notificacion a Compliance.</t>
  </si>
  <si>
    <t>Flows 1822086313 (Incumplimiento), 1822135185 (Liquidada), 1820906657 (Cierre Refi): ninguno setea Fecha reporte CNBV ni dispara reporte regulatorio.</t>
  </si>
  <si>
    <t>CON-156</t>
  </si>
  <si>
    <t>BIT-003</t>
  </si>
  <si>
    <t>Los 3 Masters de Drive y el Sheet maestro no contienen a ARI (Fulmentfi); la documentación TO-BE va detrás de la realidad operativa.</t>
  </si>
  <si>
    <t>Actualizar los 3 masters para incorporar a ARI: rol, equipo, alcance de visibilidad y reglas de segregación Ley Fintech.</t>
  </si>
  <si>
    <t>Búsqueda en maestro: 0 coincidencias de "Fulmentfi/Francisco Rodríguez/Evelyn/despacho externo". ARI creado 29-may-2026; masters previos.</t>
  </si>
  <si>
    <t>CON-157</t>
  </si>
  <si>
    <t>BIT-005</t>
  </si>
  <si>
    <t>WF Cobranza Etapa 04 Nº01 (Ejecución de garantía)</t>
  </si>
  <si>
    <t>Notificación a usuarios hardcoded (Raquel Alfie + Vianey Correa) y dos tareas asignadas a Vianey Correa; incumple "WFs por equipos".</t>
  </si>
  <si>
    <t>Reemplazar por equipo/rol (p. ej. equipo Cobranza o Comité) en notificación y en asignación de tareas.</t>
  </si>
  <si>
    <t>Panel flow 1820908035 nodo 4: "Enviar a usuarios: Raquel Alfie, Vianey Correa"; nodos 5 y 6 "asignarla a Vianey Correa".</t>
  </si>
  <si>
    <t>CON-158</t>
  </si>
  <si>
    <t>BIT-006</t>
  </si>
  <si>
    <t>WF-011 / Solicitantes Etapa 03 Nº03 (superior estancado)</t>
  </si>
  <si>
    <t>Escalamiento por formalización pendiente sigue yendo a "David Ochoa" (consultor BNO) hardcoded en vez de rol/equipo interno.</t>
  </si>
  <si>
    <t>Parametrizar por rol/equipo interno (Dirección/Comité); no enrutar escalamientos operativos a un externo BNO.</t>
  </si>
  <si>
    <t>Canvas flow 1808313453 nodo 3: "Enviar Escalamiento por apoyo en formalización a David Ochoa."</t>
  </si>
  <si>
    <t>CON-159</t>
  </si>
  <si>
    <t>BIT-013</t>
  </si>
  <si>
    <t>Al pasar a Formalización no se notifica a nadie (asesor, solicitante ni equipo). El único paso es editar etapa y luego End.</t>
  </si>
  <si>
    <t>Encadenar notificación al equipo de Formalización (por rol, no usuario) al entrar a la etapa, o confirmar que WF-016 cubre este caso.</t>
  </si>
  <si>
    <t>Flow 1807924876: secuencia 'Editar registro' -&gt; 'End'. Sin acción de notificación. WF-016 (notif) no está encadenado a este.</t>
  </si>
  <si>
    <t>Re-validación; actualiza fila 24.0 de la 1ª pasada</t>
  </si>
  <si>
    <t>CON-160</t>
  </si>
  <si>
    <t>BIT-018</t>
  </si>
  <si>
    <t>Acción 1 solo envía correo a Legal, pero acción 2 marca Áreas notificadas = Jurídica + Técnica + Financiera. Técnica y Financiera no se enteran realmente.</t>
  </si>
  <si>
    <t>Enviar correo a las 3 áreas o ajustar la propiedad para reflejar solo a quien se notificó realmente.</t>
  </si>
  <si>
    <t>Flow 1808160659: acción 1 'a Legal'; acción 2 'Define Áreas de evaluación notificadas como Área Jurídica, Área Técnica y Área Financiera'.</t>
  </si>
  <si>
    <t>Re-validación; actualiza fila 28.0 de la 1ª pasada</t>
  </si>
  <si>
    <t>CON-161</t>
  </si>
  <si>
    <t>BIT-019</t>
  </si>
  <si>
    <t>Notificación al DG hardcodeada al usuario 'David Ochoa' (nombre propio) en lugar de equipo/rol. Incumple compromiso BNO de WFs por equipos.</t>
  </si>
  <si>
    <t>Reemplazar destinatario por equipo/rol 'Dirección General' para que no dependa de una persona.</t>
  </si>
  <si>
    <t>Flow 1807927091 'Etapa 02 Nº04 Correo interno a DG'. Acción 1: 'Enviar Nuevo solicitante enviado a evaluación a David Ochoa'.</t>
  </si>
  <si>
    <t>Re-validación; actualiza fila 29.0 de la 1ª pasada</t>
  </si>
  <si>
    <t>CON-162</t>
  </si>
  <si>
    <t>BIT-022</t>
  </si>
  <si>
    <t>Tarea asignada a 'Propietario del negocio' sin fallback si está vacío (queda huérfana). Además no se ve SLA/fecha de vencimiento ni escalamiento.</t>
  </si>
  <si>
    <t>Agregar fallback de propietario y SLA (5 días + recordatorio día 3 + escalamiento).</t>
  </si>
  <si>
    <t>Flow 1807930283, acción 1: 'Crear tarea Enviar carta de aceptación ... asignarla a Propietario del negocio'. Sin vencimiento visible.</t>
  </si>
  <si>
    <t>Re-validación; actualiza fila 36.0 de la 1ª pasada</t>
  </si>
  <si>
    <t>CON-163</t>
  </si>
  <si>
    <t>BIT-025</t>
  </si>
  <si>
    <t>Al pasar a Proceso de firma no se notifica al solicitante con instrucciones de firma. WF-019/020 deberían cubrirlo pero WF-020 está apagado (ver BIT de WF-020).</t>
  </si>
  <si>
    <t>Asegurar encadenamiento con WF-019/020 (firma) y activar WF-020.</t>
  </si>
  <si>
    <t>Flow 1808166282: única acción edita etapa y End; sin notificación al solicitante.</t>
  </si>
  <si>
    <t>Re-validación; actualiza fila 43.0 de la 1ª pasada</t>
  </si>
  <si>
    <t>CON-164</t>
  </si>
  <si>
    <t>BIT-028</t>
  </si>
  <si>
    <t>La acción 3 'Escalamiento por apoyo en formalización' está hardcodeada al usuario 'David Ochoa' en lugar de un rol/equipo superior. Incumple WFs por equipos.</t>
  </si>
  <si>
    <t>Reemplazar 'David Ochoa' por equipo/rol superior de Formalización.</t>
  </si>
  <si>
    <t>Flow 1808313453, acción 3: 'Enviar Escalamiento por apoyo en formalización a David Ochoa'.</t>
  </si>
  <si>
    <t>CON-165</t>
  </si>
  <si>
    <t>BIT-031</t>
  </si>
  <si>
    <t>Setea 'Inscribir en secuencia de firma=Sí' en TODOS los contactos asociados, sin filtrar por rol. Contactos internos podrían recibir la secuencia comercial.</t>
  </si>
  <si>
    <t>Filtrar por rol de contacto (solo solicitante/firmante) antes de setear la bandera.</t>
  </si>
  <si>
    <t>Flow 1808890551 'Etapa 04 Nº02 Editar campo para secuencia'. Acción 1: 'Define como Sí la propiedad Inscribir en secuencia de firma de los objetos asociados del tipo contactos'.</t>
  </si>
  <si>
    <t>Re-validación; actualiza fila 49.0 de la 1ª pasada</t>
  </si>
  <si>
    <t>CON-166</t>
  </si>
  <si>
    <t>BIT-033</t>
  </si>
  <si>
    <t>Las notificaciones de firma pendiente (&gt;5 días) se envían al mismo 'Propietario del negocio' estancado, sin escalamiento a un superior.</t>
  </si>
  <si>
    <t>Agregar escalamiento a rol superior tras N recordatorios sin avance.</t>
  </si>
  <si>
    <t>Flow 1808816250 'Etapa 04 Nº04 Notificaciones a asesor asignado'. Trigger: Proceso de firma + Tiempo en etapa&gt;5 días. Acción 1 'Seguimiento al proceso de firma a Propietario del negocio'; acción 2 Retraso 5 días; acción 3 otra notificación.</t>
  </si>
  <si>
    <t>Re-validación; actualiza fila 52.0 de la 1ª pasada</t>
  </si>
  <si>
    <t>CON-167</t>
  </si>
  <si>
    <t>BIT-038</t>
  </si>
  <si>
    <t>La tarea 'Documentar motivo de negocio perdido' se asigna al mismo Propietario del negocio (asesor), sin fallback ni SLA visible.</t>
  </si>
  <si>
    <t>Agregar fallback de propietario y SLA; considerar asignar a rol que valide motivo de perdido.</t>
  </si>
  <si>
    <t>Flow 1808747845, acción 4: 'Crear tarea Documentar motivo de negocio perdido y asignarla a Propietario del negocio'.</t>
  </si>
  <si>
    <t>Re-validación; actualiza fila 57.0 de la 1ª pasada</t>
  </si>
  <si>
    <t>CON-168</t>
  </si>
  <si>
    <t>BIT-039</t>
  </si>
  <si>
    <t>WF-025 a WF-040</t>
  </si>
  <si>
    <t>Patrón H-065 vigente: 14 de 16 WFs Inversionistas siguen Desactivados; solo WF-029 y WF-030 Activados. Journey no operativo.</t>
  </si>
  <si>
    <t>Activar journey solo tras corregir bugs, o documentar formalmente que no está en alcance productivo.</t>
  </si>
  <si>
    <t>Portal 48427391: 14/16 flows del bloque en Desactivado. Activados solo Perfil Nº05 (flow 1808890225) y Nº06 (1808890880).</t>
  </si>
  <si>
    <t>CON-169</t>
  </si>
  <si>
    <t>BIT-043</t>
  </si>
  <si>
    <t>Nivel de registro hardcodeado a 3 sin lógica condicional. Todo negocio en Perfil Activo recibe Nivel 3 fijo, sin validar etapa real de onboarding.</t>
  </si>
  <si>
    <t>Condicionar Nivel de registro al estado real de onboarding/STP en vez de fijar 3.</t>
  </si>
  <si>
    <t>Flow 1808747892 'Perfil Nº03'. Acción '1. Editar registro: Define Nivel de registro como 3. Cuenta STP creada'. Mismo valor 3 también en WF-028.</t>
  </si>
  <si>
    <t>CON-170</t>
  </si>
  <si>
    <t>BIT-044</t>
  </si>
  <si>
    <t>Template WhatsApp inadecuado: usa 'auto_respuesta_no_disponible' (autoresponder) en 2 nodos, no un mensaje de activación de inversionista.</t>
  </si>
  <si>
    <t>Sustituir por plantilla de WhatsApp correcta de bienvenida/activación de inversionista.</t>
  </si>
  <si>
    <t>Flow 1808892052 'Perfil Nº04 Notificar a cliente'. Nodos 4 y 6 'Enviar mensaje de WhatsApp: Enviar auto_respuesta_no_disponible'.</t>
  </si>
  <si>
    <t>CON-171</t>
  </si>
  <si>
    <t>BIT-045</t>
  </si>
  <si>
    <t>WhatsApp se envía a 'Contactos: Todos los asociados' del negocio, no solo al inversionista titular. Riesgo de fuga a co-titulares/terceros asociados.</t>
  </si>
  <si>
    <t>Limitar el envío al contacto titular (rol inversionista), no a todos los asociados.</t>
  </si>
  <si>
    <t>Flow 1808892052. Nodos 4 y 6 destinatario 'Contactos: Todos los asociados'.</t>
  </si>
  <si>
    <t>CON-172</t>
  </si>
  <si>
    <t>BIT-048</t>
  </si>
  <si>
    <t>Trigger sin condición de negocio: todo negocio en Inversionista Activo pasa automáticamente a Cierre. Sin trazabilidad CNBV del cambio. En UI muestra nombre, no ID crudo.</t>
  </si>
  <si>
    <t>Agregar condición de negocio que justifique el cierre y propiedades de trazabilidad CNBV.</t>
  </si>
  <si>
    <t>Flow 1808852539 'Activo Nº01 Cambio de etapa a cierre'. Trigger solo 'Etapa = Inversionista Activo' sin más condición. Acción '1. Editar registro: define etapa como Cierre'.</t>
  </si>
  <si>
    <t>CON-173</t>
  </si>
  <si>
    <t>BIT-049</t>
  </si>
  <si>
    <t>Trigger sin condición: todo negocio Activo se congela automáticamente. Con WF-036 (Congelado-&gt;Activo sin condición) puede generar loop Activo&lt;-&gt;Congelado. Sin trazabilidad.</t>
  </si>
  <si>
    <t>Agregar condición (ej. inactividad/incumplimiento) y trazabilidad; coordinar con WF-036 para evitar loop.</t>
  </si>
  <si>
    <t>Flow 1808890239 'Activo Nº02 Cambio de etapa a congelado'. Trigger solo 'Etapa = Inversionista Activo'. Acción define etapa como Congelado.</t>
  </si>
  <si>
    <t>CON-174</t>
  </si>
  <si>
    <t>BIT-054</t>
  </si>
  <si>
    <t>WF-035 duplica las acciones de WF-033 (Fecha primera inversión x2 + Monto=0 + retraso 3d). Dos flows distintos hacen lo mismo, incl. mismo Monto=0 hardcoded.</t>
  </si>
  <si>
    <t>Consolidar WF-033 y WF-035 en un solo flow y corregir Monto=0.</t>
  </si>
  <si>
    <t>Flow 1808852554 'Activo Nº05 Actualizar datos de entrada en etapa'. Acciones idénticas a flow 1808890885 (WF-033): nodos 1 y 4 'Fecha primera inversión', nodo 2 'Monto=0'. Trigger aquí usa nombres.</t>
  </si>
  <si>
    <t>CON-175</t>
  </si>
  <si>
    <t>BIT-055</t>
  </si>
  <si>
    <t>Reactivación sin condición: todo negocio en Congelado vuelve automáticamente a Activo, anulando el congelamiento. Junto con WF-032 puede crear loop. Sin trazabilidad.</t>
  </si>
  <si>
    <t>Agregar condición de reactivación (ej. resolución de incidencia) y trazabilidad; evitar loop con WF-032.</t>
  </si>
  <si>
    <t>Flow 1808815771 'Congelado Nº01 Cambio de etapa a activo'. Trigger solo 'Etapa = Congelado'. Acción define etapa como Inversionista Activo. Sin condición de reactivación.</t>
  </si>
  <si>
    <t>CON-176</t>
  </si>
  <si>
    <t>BIT-058</t>
  </si>
  <si>
    <t>Correo sin configurar ('Correo desconocido', Se necesitan cambios) enviado a 'Todos los contactos asociados' tras 120 días. Trigger con IDs numéricos crudos.</t>
  </si>
  <si>
    <t>Configurar plantilla de correo, limitar destinatario al titular y reemplazar IDs por nombres.</t>
  </si>
  <si>
    <t>Flow 1808853523 'Congelado Nº03 Notificaciones de reactivación'. Trigger 'Pipeline 890423160 / Etapa 1341314731 / &gt;120 días'. Nodo '1. Enviar correo: Correo desconocido a Todos los contactos asociados'.</t>
  </si>
  <si>
    <t>CON-177</t>
  </si>
  <si>
    <t>BIT-060</t>
  </si>
  <si>
    <t>Correo de cierre al cliente sin configurar ('Correo desconocido', Se necesitan cambios) a 'Todos los contactos asociados'. Trigger con IDs numéricos crudos.</t>
  </si>
  <si>
    <t>Configurar plantilla de correo de cierre, limitar destinatario al titular y reemplazar IDs por nombres.</t>
  </si>
  <si>
    <t>Flow 1808818002 'Cierre Nº02 Notificaciones a cliente'. Trigger 'Pipeline 890423160 / Etapa 1341314732'. Nodo '1. Enviar correo: Correo desconocido a Todos los contactos asociados'.</t>
  </si>
  <si>
    <t>CON-178</t>
  </si>
  <si>
    <t>BIT-062</t>
  </si>
  <si>
    <t>Round-robin configurado como 'distribución aleatorio' (no equitativo). En equipo de 2 puede saturar a uno y dejar libre al otro.</t>
  </si>
  <si>
    <t>Cambiar a distribución equitativa/balanceada por carga en el nodo de rotación de propietario.</t>
  </si>
  <si>
    <t>Flow ID 1822143749. Nodo '1. Rotar registro al propietario': "Rotar ticket entre 1 equipo usando la distribución aleatorio"; detalle confirma rota entre equipo "Atencion al Cliente". WF Activado.</t>
  </si>
  <si>
    <t>Re-validación; actualiza fila 88 de la 1ª pasada</t>
  </si>
  <si>
    <t>CON-179</t>
  </si>
  <si>
    <t>BIT-063</t>
  </si>
  <si>
    <t>Rotación sin lógica de turnos por horario. Si asigna a un agente fuera de turno, el ticket queda sin atender dentro del SLA de 5 min.</t>
  </si>
  <si>
    <t>Agregar lógica de disponibilidad/horario laboral antes de asignar, o reglas de turno en la rotación.</t>
  </si>
  <si>
    <t>Flow ID 1822143749. Nodo 'Rotar registro al propietario' rota entre equipo "Atencion al Cliente" sin condición de horario/disponibilidad. Flujo solo tiene 2 nodos (Rotar + Notificar in-app) y End, sin rama de turnos.</t>
  </si>
  <si>
    <t>Re-validación; actualiza fila 89 de la 1ª pasada</t>
  </si>
  <si>
    <t>CON-180</t>
  </si>
  <si>
    <t>BIT-064</t>
  </si>
  <si>
    <t>Alerta de SLA vencido notifica a 'Raquel Alfie' hardcoded (más Propietario del ticket). Si Raquel cambia de rol queda obsoleto.</t>
  </si>
  <si>
    <t>Reemplazar 'Raquel Alfie' por destinatario dinámico por rol/equipo (Dirección Comercial) en vez de usuario hardcoded.</t>
  </si>
  <si>
    <t>Flow ID 1822144532. Nodo '1. Enviar notificación en la app': "Enviar ALERTA DE SLA: Ticket [Nombre del ticket] sin atencion a Raquel Alfie y Propietario del ticket". WF Activado.</t>
  </si>
  <si>
    <t>Re-validación; actualiza fila 90 de la 1ª pasada</t>
  </si>
  <si>
    <t>CON-181</t>
  </si>
  <si>
    <t>BIT-065</t>
  </si>
  <si>
    <t>Trigger frágil: dispara con 'Ultima actividad es conocido', no con interacción humana del EAC. Pasa ticket a En atencion sin acción real del agente.</t>
  </si>
  <si>
    <t>Cambiar trigger a un evento real de respuesta humana del EAC (email/nota enviada por miembro del equipo Atencion al Cliente) en vez de 'Ultima actividad'.</t>
  </si>
  <si>
    <t>Flow ID 1822143856. Trigger Grupo 1: Estado del ticket = Nuevo Ticket (Servicio al Cliente) Y 'El valor Ultima actividad es conocido' Y 'Propietario del ticket es conocido'. Accion 1 Editar registro: Define Pipeline y estado = En atencion (Servicio al Cliente). WF Activado.</t>
  </si>
  <si>
    <t>Re-validación; actualiza fila 91 de la 1ª pasada</t>
  </si>
  <si>
    <t>CON-182</t>
  </si>
  <si>
    <t>BIT-067</t>
  </si>
  <si>
    <t>WF-043 y WF-044 comparten trigger idéntico y disparan en paralelo; riesgo de desincronización entre cambio de etapa y Fecha primera respuesta.</t>
  </si>
  <si>
    <t>Unificar en un solo WF o encadenar secuencialmente: setear Fecha primera respuesta dentro del mismo flujo que mueve a En atencion.</t>
  </si>
  <si>
    <t>Flow ID 1822145171. Trigger Grupo 1 identico a WF-043 (1822143856): Estado=Nuevo Ticket (Servicio al Cliente) Y 'Ultima actividad es conocido' Y 'Propietario conocido'. Ambos Activados.</t>
  </si>
  <si>
    <t>Re-validación; actualiza fila 93 de la 1ª pasada</t>
  </si>
  <si>
    <t>CON-183</t>
  </si>
  <si>
    <t>BIT-068</t>
  </si>
  <si>
    <t>'Fecha de primera respuesta' se setea con la fecha de ejecucion del WF, no con la respuesta humana real del EAC. Metrica SLA inflada.</t>
  </si>
  <si>
    <t>Setear Fecha primera respuesta a partir del primer email/nota real del EAC, no de la ejecucion del WF.</t>
  </si>
  <si>
    <t>Flow ID 1822145171. Accion 1 Editar registro: "Define Fecha de primera respuesta como la fecha en que se ejecuto esta accion". Disparada por 'Ultima actividad', no por respuesta del agente.</t>
  </si>
  <si>
    <t>Re-validación; actualiza fila 94 de la 1ª pasada</t>
  </si>
  <si>
    <t>CON-184</t>
  </si>
  <si>
    <t>BIT-071</t>
  </si>
  <si>
    <t>El WF solo cambia etapa a Escalado a TI. No asigna propietario al equipo TI, no notifica a Jesus, no genera folio/registro en TI ni Notion. Ticket queda huerfano.</t>
  </si>
  <si>
    <t>Agregar en el WF: asignar propietario al equipo TI y notificar a Jesus. La generacion de folio/registro en TI/Notion la ejecuta Monific-Tech (Jesus) por cambio de modelo 5-jun.</t>
  </si>
  <si>
    <t>Flow ID 1822136495. Trigger: Estado=En atencion (Servicio al Cliente) Y Tipo de ticket=Problema tecnico. Unica accion '1. Editar registro': Define Pipeline y estado = Escalado a TI (Servicio al Cliente); luego End. Sin asignacion ni notificacion.</t>
  </si>
  <si>
    <t>Re-validación; actualiza fila 97 de la 1ª pasada</t>
  </si>
  <si>
    <t>CON-185</t>
  </si>
  <si>
    <t>BIT-072</t>
  </si>
  <si>
    <t>WF-047</t>
  </si>
  <si>
    <t>Folio TI con formato incorrecto: se arma como 'Tipo de ticket - Fecha de creacion', no como folio estructurado/secuencial unico de TI.</t>
  </si>
  <si>
    <t>Definir folio TI con formato estructurado y unico (ej. prefijo TI + consecutivo + fecha). La generacion la coordina Monific-Tech (Jesus) por cambio de modelo 5-jun.</t>
  </si>
  <si>
    <t>Flow ID 1822136886. Accion 1 'Editar registro': Define Folio ticket TI como [Tipo de ticket (ticket inscrito)] - [Fecha de creacion (ticket inscrito)]. WF Activado.</t>
  </si>
  <si>
    <t>Re-validación; actualiza fila 98 de la 1ª pasada</t>
  </si>
  <si>
    <t>CON-186</t>
  </si>
  <si>
    <t>BIT-075</t>
  </si>
  <si>
    <t>Correo de ESCALAMIENTO CRITICO va a 'Raquel Alfie' hardcoded. Mismo patron de usuario hardcoded que WF-042. No detectado por separado en 1a pasada.</t>
  </si>
  <si>
    <t>Reemplazar 'Raquel Alfie' por destinatario por rol/equipo (Direccion / TI) en vez de usuario hardcoded.</t>
  </si>
  <si>
    <t>Flow ID 1822137249. Accion 1 'Enviar notificacion interna por correo': "Enviar ESCALAMIENTO CRITICO: Ticket # [Nombre del ticket] a Raquel Alfie".</t>
  </si>
  <si>
    <t>CON-187</t>
  </si>
  <si>
    <t>BIT-085</t>
  </si>
  <si>
    <t>WF-053 'Recordatorios activos': trigger de programacion ANUAL ('Anualmente el 1 de junio'), bug copy-paste. Un recordatorio de cobranza no puede dispararse 1 vez al ano. Sigue DESACTIVADO.</t>
  </si>
  <si>
    <t>Cambiar trigger a programacion recurrente mensual o inscripcion por propiedad de fecha de pago. Reactivar tras correccion.</t>
  </si>
  <si>
    <t>Flow 1820860306. Trigger: 'En una programacion - Anualmente el 1 de junio entre 10:00 y 17:00 CST'. Condicion: Estado de ticket = Cobranza Activa. Estado: DESACTIVADO.</t>
  </si>
  <si>
    <t>CON-188</t>
  </si>
  <si>
    <t>BIT-086</t>
  </si>
  <si>
    <t>WF-053 nodo 'Inscribirse en una secuencia' marcado 'Se necesitan cambios': sequenceId/senderType sin configurar. Inscribe a un CONTACTO en WF de objeto Ticket.</t>
  </si>
  <si>
    <t>Configurar la secuencia real o reemplazar por acciones de email/tarea sobre el ticket. Corregir objeto a Ticket.</t>
  </si>
  <si>
    <t>Flow 1820860306, nodo 1: literal 'Inscribir al contacto en {{ sequenceId }} de {{ senderType }}' + etiqueta 'Se necesitan cambios'.</t>
  </si>
  <si>
    <t>CON-189</t>
  </si>
  <si>
    <t>BIT-087</t>
  </si>
  <si>
    <t>WF-054 'Recordatorios antes del 15 mes': trigger ANUAL ('Anualmente el 11 de junio'), bug copy-paste. Deberia ser mensual antes del dia 15. Sigue DESACTIVADO.</t>
  </si>
  <si>
    <t>Cambiar trigger a programacion mensual previa al dia 15 o inscripcion por propiedad de fecha. Reactivar tras correccion.</t>
  </si>
  <si>
    <t>Flow 1820860318. Trigger: 'Anualmente el 11 de junio entre 10:00 y 17:00 CST'. Acciones: 1) Retraso L-V; 2) Inscribirse en secuencia (rota). DESACTIVADO.</t>
  </si>
  <si>
    <t>CON-190</t>
  </si>
  <si>
    <t>BIT-088</t>
  </si>
  <si>
    <t>WF-054 nodo 'Inscribirse en una secuencia' marcado 'Se necesitan cambios': sequenceId/senderType sin configurar. Mismo bug que WF-053.</t>
  </si>
  <si>
    <t>Configurar la secuencia real o reemplazar por email/tarea sobre el ticket. Corregir objeto a Ticket.</t>
  </si>
  <si>
    <t>Flow 1820860318, nodo 2: literal 'Inscribir al contacto en {{ sequenceId }} de {{ senderType }}' + etiqueta 'Se necesitan cambios'.</t>
  </si>
  <si>
    <t>CON-191</t>
  </si>
  <si>
    <t>BIT-090</t>
  </si>
  <si>
    <t>WF-055 escalamiento Dia 16 (Mora Temprana) no incluye al despacho externo (ARI), que segun acuerdo participa en paralelo en cobranza amistosa desde el Dia 16.</t>
  </si>
  <si>
    <t>Agregar al futuro equipo 'Despacho externo' como destinatario en el escalamiento Dia 16 para activar cobranza amistosa en paralelo.</t>
  </si>
  <si>
    <t>Flow 1820890946. Retraso 15 dias + accion 4 'ESCALAMIENTO 16 Dias' solo a Raquel y Vianey. No hay accion que notifique al despacho (ARI).</t>
  </si>
  <si>
    <t>CON-192</t>
  </si>
  <si>
    <t>BIT-091</t>
  </si>
  <si>
    <t>WF-055 incoherencia: trigger exige 'fecha de pago hace mas de 31 dias' pero el contenido habla de 'Mora Dia 1' y escala a 'Dia 16'. La condicion de 31 dias retrasa todo el ciclo de recordatorios.</t>
  </si>
  <si>
    <t>Revisar la ventana del trigger: alinear con Dia 1 post-vencimiento si ese es el objetivo, o corregir los textos de las acciones.</t>
  </si>
  <si>
    <t>Flow 1820890946 trigger: 'Estado de ticket = Cobranza Activa Y Estado de pago = Atrasado Y fecha de pago es mas que Hace mas de 31 dias'. Contenido refiere Dia 1 y Dia 16.</t>
  </si>
  <si>
    <t>CON-193</t>
  </si>
  <si>
    <t>BIT-095</t>
  </si>
  <si>
    <t>WF-058 notif 'Cambio de Etapa: Decision de Refinanciamiento' no tiene destinatarios configurados (campo 'a y .' vacio). El aviso no llega a nadie.</t>
  </si>
  <si>
    <t>Configurar destinatarios (equipo Cobranza / comite de refinanciamiento) en la notificacion.</t>
  </si>
  <si>
    <t>Flow 1820913996, accion 2 'Enviar notificacion interna por correo': 'Cambio de Etapa: Decision de Refinanciamiento | Nombre del ticket' a (vacio).</t>
  </si>
  <si>
    <t>CON-194</t>
  </si>
  <si>
    <t>BIT-096</t>
  </si>
  <si>
    <t>WF-058 tarea 'Validacion Juridica: Refinanciamiento' (accion 4) queda SIN asignatario (campo 'a .' vacio). Ademas deberia asignarse al despacho externo (ARI).</t>
  </si>
  <si>
    <t>Asignar la tarea de validacion juridica al despacho externo (ARI) como responsable de refinanciamiento.</t>
  </si>
  <si>
    <t>Flow 1820913996, accion 4 'Crear tarea': 'Validacion Juridica: Refinanciamiento de Cobranza | Nombre del ticket' y asignarla a (vacio).</t>
  </si>
  <si>
    <t>CON-195</t>
  </si>
  <si>
    <t>BIT-007</t>
  </si>
  <si>
    <t>Existen equipos "Asesor de atención a solicitantes" y "Asesor de atención a inversionistas" como equipo predeterminado de usuarios, pero no figuran en la lista oficial de equipos.</t>
  </si>
  <si>
    <t>Normalizar nomenclatura: registrar estos equipos formalmente o reasignar a un equipo oficial; afecta trazabilidad de quién recibe notificaciones.</t>
  </si>
  <si>
    <t>Users: Guillermo Gomez → "Asesor de atención a solicitantes"; Raquel Alfie → "Asesor de atención a inversionistas". Lista de equipos solo muestra 9, sin estos nombres.</t>
  </si>
  <si>
    <t>CON-196</t>
  </si>
  <si>
    <t>BIT-008</t>
  </si>
  <si>
    <t>Jesús Torres (ejecutor técnico principal del modelo BNO-capacita/TI-ejecuta) no tiene equipo predeterminado asignado.</t>
  </si>
  <si>
    <t>Asignar a Jesús a un equipo (TI/Tech) para que reciba asignaciones/escalamientos previstos en el nuevo modelo operativo.</t>
  </si>
  <si>
    <t>Users: jesus.torres@monific.com, Superadministrador, "Equipo predeterminado" = "--".</t>
  </si>
  <si>
    <t>CON-197</t>
  </si>
  <si>
    <t>BIT-010</t>
  </si>
  <si>
    <t>WF Cobranza Etapa 02 Nº03 (Recordatorios y tareas venc.15)</t>
  </si>
  <si>
    <t>WF marcado "Activado" pero sin acciones configuradas (0 nodos de acción); no genera recordatorios ni tareas.</t>
  </si>
  <si>
    <t>Completar las acciones de recordatorio/tarea o desactivar el WF para evitar falsa sensación de cobertura.</t>
  </si>
  <si>
    <t>Canvas flow 1820890946: solo trigger ("Estado=Cobranza Activa, pago Atrasado &gt;31 días") + botón "Agregar nueva acción"; 0 inscritos.</t>
  </si>
  <si>
    <t>CON-198</t>
  </si>
  <si>
    <t>BIT-029</t>
  </si>
  <si>
    <t>WF-018 ahora EXIGE 'Contrato firmado=Sí' en el trigger. La race condition reportada antes (WF-018 ganaba a WF-022 sin exigir firma) parece mitigada. Re-evaluar BITs de WF-022/023.</t>
  </si>
  <si>
    <t>Validar en sandbox que WF-022 (a perdido) y WF-018 (a ganado) ya no compiten. Confirmar mutuamente excluyentes.</t>
  </si>
  <si>
    <t>Flow 1808711272 'Etapa 04 Nº01 Cambio de etapa a ganado'. Trigger: Proceso de firma + 'Contrato firmado es cualquiera de Sí', Reinscripción desactivada. Acción 1 edita etapa a Ganado.</t>
  </si>
  <si>
    <t>CON-199</t>
  </si>
  <si>
    <t>BIT-034</t>
  </si>
  <si>
    <t>Race condition con WF-018 RESUELTA: WF-018 exige Contrato firmado=Sí y WF-022 exige Contrato firmado=No. Ahora son mutuamente excluyentes. Confirmar en sandbox.</t>
  </si>
  <si>
    <t>Validar en sandbox que ya no hay doble disparo. Cerrar el hallazgo de race si pasa la prueba.</t>
  </si>
  <si>
    <t>Flow 1808890501 'Etapa 04 Nº05 Enviar a perdido'. Trigger: Proceso de firma + 'Contrato firmado es cualquiera de No'. WF-018 exige 'Contrato firmado=Sí'.</t>
  </si>
  <si>
    <t>Re-validación; actualiza fila 53.0 de la 1ª pasada</t>
  </si>
  <si>
    <t>CON-200</t>
  </si>
  <si>
    <t>BIT-036</t>
  </si>
  <si>
    <t>Fecha de cierre se fija como la fecha de ejecución del WF, no la fecha real de firma del contrato. Puede quedar desfasada. La race con WF-024 ya no aplica (etapas distintas).</t>
  </si>
  <si>
    <t>Usar la fecha real de firma del contrato (propiedad) en lugar de la fecha de ejecución del WF.</t>
  </si>
  <si>
    <t>Flow 1808853378 'Etapa 05 Nº01 Establecer fecha de cierre'. Trigger: etapa=Ganado. Acción 1: 'Define Fecha de cierre como la fecha en que se ejecutó esta acción'.</t>
  </si>
  <si>
    <t>Re-validación; actualiza fila 55.0 de la 1ª pasada</t>
  </si>
  <si>
    <t>CON-201</t>
  </si>
  <si>
    <t>BIT-040</t>
  </si>
  <si>
    <t>WF-025 (Cambio a Activo) no escribe propiedades de trazabilidad CNBV (fecha/usuario/motivo) en el cambio de etapa.</t>
  </si>
  <si>
    <t>Agregar set de propiedades de trazabilidad (fecha de cambio, usuario, motivo) al cambio de etapa.</t>
  </si>
  <si>
    <t>Flow 1808818247 'Perfil Nº01 Cambio de etapa a activo'. Única acción '1. Editar registro: define etapa como Inversionista Activo'. Desactivado.</t>
  </si>
  <si>
    <t>CON-202</t>
  </si>
  <si>
    <t>BIT-050</t>
  </si>
  <si>
    <t>Trigger usa IDs numéricos crudos en vez de nombres: Pipeline=890423160 y Etapa=1341314730. Frágil ante cambios de configuración y poco mantenible.</t>
  </si>
  <si>
    <t>Reemplazar IDs numéricos por selección por nombre de pipeline/etapa.</t>
  </si>
  <si>
    <t>Flow 1808890885 'Activo Nº03 Definir propiedades de inversión'. Trigger 'Pipeline es cualquiera de 890423160 y Etapa es cualquiera de 1341314730'.</t>
  </si>
  <si>
    <t>CON-203</t>
  </si>
  <si>
    <t>BIT-056</t>
  </si>
  <si>
    <t>Trigger con IDs numéricos crudos: Pipeline=890423160 y Etapa=1341314731. Mismo patrón frágil que WF-033/038/039/040.</t>
  </si>
  <si>
    <t>Reemplazar IDs numéricos por nombres de pipeline/etapa.</t>
  </si>
  <si>
    <t>Flow 1808817955 'Congelado Nº02 Definir campos de entrada'. Trigger 'Pipeline 890423160 / Etapa 1341314731'.</t>
  </si>
  <si>
    <t>CON-204</t>
  </si>
  <si>
    <t>BIT-061</t>
  </si>
  <si>
    <t>Master desactualizado vs HubSpot: master marca WF-025 y WF-026 como 'Encendido' (están Desactivados) y WF-029/WF-030 como 'Apagado' (están Activados).</t>
  </si>
  <si>
    <t>Actualizar la columna Estatus del master para reflejar el estado real en HubSpot.</t>
  </si>
  <si>
    <t>Master Comercial, pestaña 'Workflows - Inversionistas', col Estatus: Perfil Nº01/Nº02='Encendido'; Nº05/Nº06='Apagado'. HubSpot: Nº01/Nº02 Desactivados; Nº05/Nº06 Activados.</t>
  </si>
  <si>
    <t>CON-205</t>
  </si>
  <si>
    <t>BIT-066</t>
  </si>
  <si>
    <t>La condición 'Ultima actividad es conocido' se cumple para cualquier usuario (admins, integraciones, bots), distorsionando métricas de SLA.</t>
  </si>
  <si>
    <t>Filtrar por 'Owner ID = miembro del equipo Atencion al Cliente' o por actividad de tipo humano.</t>
  </si>
  <si>
    <t>Flow ID 1822143856. Misma condición de trigger 'El valor Ultima actividad es conocido' no distingue actor humano vs automatizado.</t>
  </si>
  <si>
    <t>Re-validación; actualiza fila 92 de la 1ª pasada</t>
  </si>
  <si>
    <t>CON-206</t>
  </si>
  <si>
    <t>BIT-069</t>
  </si>
  <si>
    <t>En re-apertura (ticket vuelve de En atencion a Nuevo) la Fecha primera respuesta conserva el valor historico; SLA distorsionado.</t>
  </si>
  <si>
    <t>Agregar logica de reset de Fecha primera respuesta al reabrir, o registrar fecha por ciclo de atencion.</t>
  </si>
  <si>
    <t>Flow ID 1822145171. Reinscripcion desactivada y la accion solo escribe la fecha la primera vez; no hay rama de reset al reabrir.</t>
  </si>
  <si>
    <t>Re-validación; actualiza fila 95 de la 1ª pasada</t>
  </si>
  <si>
    <t>CON-207</t>
  </si>
  <si>
    <t>BIT-074</t>
  </si>
  <si>
    <t>Vencimiento configurado a 2 dias (48h), contradice minuta que pide 8h. Ademas solo notifica una vez; sin re-alerta si sigue vencido a 72h/96h.</t>
  </si>
  <si>
    <t>Bajar el umbral a 8h segun minuta y agregar re-alertas escalonadas (recurrencia) mientras siga vencido.</t>
  </si>
  <si>
    <t>Flow ID 1822137249. Trigger Grupo 1: Estado=Escalado a TI (Servicio al Cliente) Y 'Tiempo en la etapa actual es mayor que 2 dias'. Una sola accion de correo y luego End. WF Activado.</t>
  </si>
  <si>
    <t>Re-validación; actualiza fila 99 de la 1ª pasada</t>
  </si>
  <si>
    <t>CON-208</t>
  </si>
  <si>
    <t>BIT-083</t>
  </si>
  <si>
    <t>WF-050 'Asignar propietario' no notifica el alta de campana al despacho externo (ARI) para preparar la tabla del Dia 15 (razon social y monto adeudado).</t>
  </si>
  <si>
    <t>Agregar notificacion al futuro equipo 'Despacho externo' avisando alta de campana para que ARI prepare la tabla del Dia 15.</t>
  </si>
  <si>
    <t>Flow 1820379477. Trigger: Propietario del ticket desconocido Y Pipeline Cobranza Monific. Acc 1) Rotar registro round-robin a equipo 'Atencion al Cliente'; 2) Notif 'Nueva campana de cobranza creada' al Propietario. Sin nodo ARI.</t>
  </si>
  <si>
    <t>CON-209</t>
  </si>
  <si>
    <t>BIT-084</t>
  </si>
  <si>
    <t>WF-052 ya NO depende de 'Monto total'/API Admin.Monific: el trigger se rodeo con 'Record ID del Proyecto conocido' + Estado de ticket. Dependencia API desactivada, no resuelta via API.</t>
  </si>
  <si>
    <t>Validar con TI Monific si el nuevo trigger es definitivo. Si la API sigue pendiente, documentar que el flujo opera sin sincronizacion de Monto total.</t>
  </si>
  <si>
    <t>Flow 1820465005. Modificado 8-jun-2026 (unico WF del bloque movido post-mayo). Trigger: Pipeline Cobranza Y Propietario conocido Y Estado de ticket Y 'Record ID del Proyecto conocido'. Accion: Editar registro -&gt; 'cobranza activa'. No usa 'Monto total'.</t>
  </si>
  <si>
    <t>CON-210</t>
  </si>
  <si>
    <t>BIT-089</t>
  </si>
  <si>
    <t>WF-055 notif 'ESCALAMIENTO: 16 Dias sin Pago' va hardcoded a Raquel Alfie y Vianey Correa. Debe usar equipo/rol (Cobranza/Direccion), no personas.</t>
  </si>
  <si>
    <t>Reemplazar destinatarios fijos por equipo Cobranza / rol Direccion Financiera para evitar dependencia de personas.</t>
  </si>
  <si>
    <t>Flow 1820890946, accion 4 'Enviar notificacion interna por correo': 'ESCALAMIENTO: 16 Dias sin Pago | Nombre del ticket' a Raquel Alfie y Vianey Correa.</t>
  </si>
  <si>
    <t>CON-211</t>
  </si>
  <si>
    <t>BIT-097</t>
  </si>
  <si>
    <t>WF-059 mueve a Cierre por refinanciamiento (etapa terminal) solo cambiando de etapa; no notifica a Compliance ni setea propiedades CNBV (recae en WF-062).</t>
  </si>
  <si>
    <t>Agregar notificacion a Compliance al cerrar por refinanciamiento, o confirmar que WF-062 lo cubre.</t>
  </si>
  <si>
    <t>Flow 1820912802. Trigger: Refinanciamiento Y 'Tabla completa de cuotas conocido' Y 'Aprobacion de comite = Si'. Accion unica: Editar registro -&gt; Cierre por refinanciamiento.</t>
  </si>
  <si>
    <t>CON-212</t>
  </si>
  <si>
    <t>BIT-098</t>
  </si>
  <si>
    <t>WF-060 se llama 'Notificaciones' pero NO contiene ninguna notificacion: su unica accion es Editar registro para mover a Ejecucion de Garantia cuando el comite rechaza el refi.</t>
  </si>
  <si>
    <t>Renombrar el WF acorde a su funcion (cambio de etapa) o agregar las notificaciones que el nombre implica.</t>
  </si>
  <si>
    <t>Flow 1820907946 'Etapa 03 N01 Notificaciones'. Trigger: Refinanciamiento Y 'Aprobacion de comite = No'. Accion unica: Editar registro -&gt; Ejecucion de Garantia. Sin acciones de notificacion.</t>
  </si>
  <si>
    <t>CON-213</t>
  </si>
  <si>
    <t>BIT-105</t>
  </si>
  <si>
    <t>WF-063 setea 'Estado de credito final = Activo' en una campana LIQUIDADA. Semanticamente cuestionable: un credito liquidado deberia quedar como Pagado/Liquidado, no Activo. Validar con Compliance.</t>
  </si>
  <si>
    <t>Validar con Compliance el valor correcto del estado final para credito liquidado (p.ej. Pagado/Liquidado) y corregir.</t>
  </si>
  <si>
    <t>Flow 1822135185, accion 4: 'Define Estado de credito final como Activo'.</t>
  </si>
  <si>
    <t>CON-214</t>
  </si>
  <si>
    <t>BIT-109</t>
  </si>
  <si>
    <t>Re-validacion BIT-010: el canvas de Etapa 02 N03 'Recordatorios y tareas por vencimiento 15' ya NO esta vacio. Tiene 4 acciones (notif Dia 1, tarea contacto, retraso 15 dias, escalamiento Dia 16).</t>
  </si>
  <si>
    <t>Cerrar BIT-010 como Resuelto. Atender hallazgos remanentes (hardcoded, ARI, incoherencia de trigger).</t>
  </si>
  <si>
    <t>Flow 1820890946 ACTIVADO con 4 acciones configuradas. El canvas vacio reportado en BIT-010 fue completado. (Hallazgos remanentes de este WF: ver BIT-089/090/091).</t>
  </si>
  <si>
    <t>CON-215</t>
  </si>
  <si>
    <t>BIT-009</t>
  </si>
  <si>
    <t>Confirmado que la visibilidad de Contactos de ARI (FR y EM) está restringida a "Su contactos"; no ven todos los contactos del portal a nivel de permiso individual.</t>
  </si>
  <si>
    <t>Mantener "Su contactos"; el riesgo residual es la membresía compartida en "Legal" (ver BIT-001), no el scope de Contactos.</t>
  </si>
  <si>
    <t>Paneles "Edición de acceso" de FRANCISCO RODRIGUEZ y Evelyn Montes: Visualización de Contactos = "Su contactos"; licencia "Solo lectura".</t>
  </si>
  <si>
    <t>CON-216</t>
  </si>
  <si>
    <t>BIT-046</t>
  </si>
  <si>
    <t>WF-029 opera correctamente: notifica al Propietario del negocio (dinámico) en la asignación. Activado. Sin hardcode ni fuga a Legal.</t>
  </si>
  <si>
    <t>N/A — control informativo</t>
  </si>
  <si>
    <t>Validado: funciona según diseño; control informativo, no exigible a BNO</t>
  </si>
  <si>
    <t>Sin acción. Funciona según diseño.</t>
  </si>
  <si>
    <t>Flow 1808890225 'Perfil Nº05 Notificar a asesor en la asignación'. Activado. Acción '1. Enviar notificación interna por correo a Propietario del negocio'.</t>
  </si>
  <si>
    <t>Operación correcta verificada. Se conserva para trazabilidad y se excluye del universo exigible a BNO.</t>
  </si>
  <si>
    <t>CON-217</t>
  </si>
  <si>
    <t>BIT-047</t>
  </si>
  <si>
    <t>WF-030 opera correctamente: tras 48 días en etapa crea tarea de seguimiento al Propietario del negocio (dinámico). Activado. Sin hardcode ni fuga a Legal.</t>
  </si>
  <si>
    <t>Flow 1808890880 'Perfil Nº06 Notificar a asesor de negocio estancado'. Activado. Trigger &gt;48 días. Acción '1. Crear tarea ... asignada a Propietario del negocio'.</t>
  </si>
  <si>
    <t>CON-218</t>
  </si>
  <si>
    <t>BIT-052</t>
  </si>
  <si>
    <t>Acción duplicada: nodos 1 y 4 son idénticos ('Define Fecha de primera inversión como fecha de ejecución'), separados por un retraso de 3 días. Redundante.</t>
  </si>
  <si>
    <t>Eliminar la acción duplicada o aclarar el propósito del retraso si es intencional.</t>
  </si>
  <si>
    <t>Flow 1808890885. Nodo '1. Editar registro' y nodo '4. Editar registro' definen ambos 'Fecha de primera inversión'; entre ellos nodo '3. Retraso 3 días'.</t>
  </si>
  <si>
    <t>CON-219</t>
  </si>
  <si>
    <t>BIT-057</t>
  </si>
  <si>
    <t>Acción duplicada: nodos 1 y 2 definen ambos 'Fecha de congelado' con el mismo valor (fecha de ejecución). Redundante.</t>
  </si>
  <si>
    <t>Eliminar la acción duplicada.</t>
  </si>
  <si>
    <t>Flow 1808817955. Nodos '1. Editar registro' y '2. Editar registro' definen ambos 'Fecha de congelado como fecha de ejecución'.</t>
  </si>
  <si>
    <t>CON-220</t>
  </si>
  <si>
    <t>BIT-073</t>
  </si>
  <si>
    <t>Hallazgo viejo de 'correo a Raquel hardcoded / id para Karen Gomez' en WF-047 NO se confirma en canvas: no existe nodo de correo; la tarea se asigna dinamicamente al Propietario del ticket.</t>
  </si>
  <si>
    <t>Cerrar este hallazgo del maestro; verificar si el correo a Raquel/Karen corresponde a otro WF.</t>
  </si>
  <si>
    <t>Flow ID 1822136886. Acciones: 1 Folio TI, 2 Fecha escalamiento TI, 3 'Crear tarea ... y la asigna a Propietario del ticket'. No hay nodo de correo a Raquel ni a Karen Gomez.</t>
  </si>
  <si>
    <t>CON-221</t>
  </si>
  <si>
    <t>BIT-092</t>
  </si>
  <si>
    <t>WF-056</t>
  </si>
  <si>
    <t>WF-056 'Cambio a liquidado' solo cambia de etapa a Campana Liquidada; no setea propiedades de trazabilidad ni notifica. La trazabilidad recae en WF-063.</t>
  </si>
  <si>
    <t>Confirmar que WF-063 captura toda la trazabilidad al entrar a Liquidada. Si no, mover el seteo de propiedades aqui.</t>
  </si>
  <si>
    <t>Flow 1820907893. Trigger: Cobranza Activa Y Mensualidades restantes &lt;= 0. Accion unica: Editar registro -&gt; Pipeline/estado = Campana Liquidada.</t>
  </si>
  <si>
    <t>CON-222</t>
  </si>
  <si>
    <t>3ª Bitácora técnica</t>
  </si>
  <si>
    <t>APP-001</t>
  </si>
  <si>
    <t>App legacy</t>
  </si>
  <si>
    <t>Negocios</t>
  </si>
  <si>
    <t>App privada Migracion-monific (ID 12753166) con token de acceso activo</t>
  </si>
  <si>
    <t>P0</t>
  </si>
  <si>
    <t>Pendiente</t>
  </si>
  <si>
    <t>Resuelto por TI Monific (Daniel)</t>
  </si>
  <si>
    <t>Sí – Daniel (hecho)</t>
  </si>
  <si>
    <t>D1</t>
  </si>
  <si>
    <t>Confirmar en Paso 4 que ninguna propiedad fue creada exclusivamente por este token; tras ello desactivar la app y revocar/rotar el token. Documentar fecha de cierre de migracion.</t>
  </si>
  <si>
    <t>Token: pat-na1-4b023**-****-****-****-************ (vivo). Scopes (6): crm.schemas.deals.read; crm.schemas.deals.write; crm.objects.deals.highly_sensitive.read; crm.objects.deals.read; crm.objects.deals.sensitive.read; crm.objects.deals.write. Log API: 'Ningun registro coincide' rango 12/05-10/06/2026 (HubSpot solo expone 30 dias). Vista general: 0 llamadas y 0 errores en ultimos 7 dias.</t>
  </si>
  <si>
    <t>Plan PLAN-001; App de migracion historica: una vez concluida la migracion debe estar desactivada y con token revocado. No debe permanecer un token vivo con permisos sensitive sobre Negocios.</t>
  </si>
  <si>
    <t>TI (Daniel) marcó esta acción como hecha</t>
  </si>
  <si>
    <t>CON-223</t>
  </si>
  <si>
    <t>APP-002</t>
  </si>
  <si>
    <t>Propiedad mal mapeada</t>
  </si>
  <si>
    <t>Nombre del proyecto (internal name: nombre_de_proyecto) | Negocio | tipo: Casillas de verificacion multiples (172 opciones)</t>
  </si>
  <si>
    <t>Resuelto pendiente confirmar</t>
  </si>
  <si>
    <t>D5</t>
  </si>
  <si>
    <t>Normalizar acentos/codificacion UTF-8 entre Admin.Monific y HubSpot: o (a) Monific envia el valor exacto con tilde que existe en HubSpot, o (b) normalizar el catalogo a una convencion unica (sin acentos) en ambos lados, o (c) crear-opcion-si-no-existe via API antes del POST del deal. Reprocesar los deals 400 fallidos. Validar las 172 opciones contra el catalogo maestro de proyectos de Admin.</t>
  </si>
  <si>
    <t>Cita literal respuesta HTTP 400 (registro 114641c4-faa2-4bc4-89e8-82a6ded29fd6): {"status":"error","message":"Property values were not valid: ...Camichin 37 was not one of the allowed options..."}. Opciones validas listadas incluian: CTC Casa Temoaya, CTC Casa Toluca, CTC Casa Zumpango, Casa Coba. POST /crm/objects/v3/deals 9-jun-2026 15:49 CST.</t>
  </si>
  <si>
    <t>Plan PLAN-002; El catalogo de opciones del dropdown en HubSpot debe estar sincronizado con los proyectos/valores de Admin.Monific para que todo POST /deals sea aceptado (201).</t>
  </si>
  <si>
    <t>CON-224</t>
  </si>
  <si>
    <t>APP-003</t>
  </si>
  <si>
    <t>Regla incompleta</t>
  </si>
  <si>
    <t>Creacion de grupos de propiedades: POST /crm/properties/v3/{deals,companies,contacts}/groups</t>
  </si>
  <si>
    <t>P2</t>
  </si>
  <si>
    <t>Hacer idempotente la creacion de grupos (chequear-y-crear) y moverla a un proceso de setup unico, no por corrida. Definir quien mantiene el codigo que llama este endpoint (Monific Tech vs BNO Implementacion).</t>
  </si>
  <si>
    <t>Log 4XX trama1-monific: 409 POST /crm/properties/v3/deals/groups (9-jun 17:41 y 16:15); 409 POST /crm/properties/v3/companies/groups (9-jun 17:41 y 16:15); 409 POST /crm/properties/v3/contacts/groups (9-jun 17:41 y 16:15). Total 6 conflictos.</t>
  </si>
  <si>
    <t>Plan PLAN-003; La app deberia verificar existencia del grupo (GET) antes de crearlo, o crear el grupo una sola vez en setup y no en cada corrida. No reintentar contra un 409 idempotente.</t>
  </si>
  <si>
    <t>Auditoría: Pendiente</t>
  </si>
  <si>
    <t>CON-225</t>
  </si>
  <si>
    <t>APP-004</t>
  </si>
  <si>
    <t>Scope excesivo</t>
  </si>
  <si>
    <t>Scopes de la app trama1-monific (token pat-na1-9af48**)</t>
  </si>
  <si>
    <t>P1</t>
  </si>
  <si>
    <t>D2</t>
  </si>
  <si>
    <t>Revisar y reducir scopes al minimo necesario. Documentar justificacion de cada scope sensible para CNBV/Ley Fintech. Si users.write y export/import no se usan, removerlos. Relevante para auditoria de accesos.</t>
  </si>
  <si>
    <t>Scopes literales criticos (Settings&gt;Private Apps&gt;trama1-monific&gt;Autenticacion): crm.objects.users.read; crm.objects.users.write; crm.export; crm.import; crm.schemas.projects.read; crm.schemas.projects.write; crm.objects.companies.highly_sensitive.read; crm.objects.deals.highly_sensitive.read; crm.objects.contacts.sensitive.read; crm.objects.companies.sensitive.read; crm.objects.deals.sensitive.read; crm.objects.custom.sensitive.read.</t>
  </si>
  <si>
    <t>Plan PLAN-004; Principio de minimo privilegio: scopes acotados a contactos, tickets, empresas y negocios necesarios para la integracion descrita. Sin users.write ni export/import salvo justificacion documentada.</t>
  </si>
  <si>
    <t>CON-226</t>
  </si>
  <si>
    <t>APP-005</t>
  </si>
  <si>
    <t>Inventario app</t>
  </si>
  <si>
    <t>App privada vigente trama1-monific (ID 10092461)</t>
  </si>
  <si>
    <t>P3</t>
  </si>
  <si>
    <t>Mantener como integracion vigente. Atender 'Actualizacion disponible' (migracion a nueva plataforma de apps de HubSpot) de forma planificada con BNO.</t>
  </si>
  <si>
    <t>Settings&gt;Integrations&gt;Private Apps (Aplicaciones anteriores), portal 48427391. trama1-monific ID 10092461, tipo Privada, sin proyecto, 'Actualizacion disponible'. Endpoints observados: POST/PATCH /crm/objects/v3/contacts, /deals; POST /crm-search-public/v3/contacts/search.</t>
  </si>
  <si>
    <t>Plan PLAN-005; App de integracion vigente Monific-&gt;HubSpot (unidireccional salvo Campanias de fondeo). Construida con SDK de HubSpot. Debe ser la unica app activa tras retirar Migracion-monific.</t>
  </si>
  <si>
    <t>CON-227</t>
  </si>
  <si>
    <t>APP-006</t>
  </si>
  <si>
    <t>Error en log</t>
  </si>
  <si>
    <t>Empresas</t>
  </si>
  <si>
    <t>Busqueda de empresas: POST /crm-search-public/v3/companies/search</t>
  </si>
  <si>
    <t>D3</t>
  </si>
  <si>
    <t>Corregir el constructor del search en la app: no enviar filtro sobre 'name' cuando el valor es vacio (validar antes de armar el body, u omitir el filtro si no hay nombre). Confirmado en Logs: el 400 lo causa filterGroups con {propertyName:'name', value:''}. Relacionado con problema historico de empresas sin contacto vinculado: si el search por 'name' falla, la app no encuentra/asocia la empresa.</t>
  </si>
  <si>
    <t>Log 4XX trama1-monific: 400 POST /crm-search-public/v3/companies/search 9-jun-2026 13:23 CST (x3). Registro 7001a921-6535-4027-b665-f26262311f9d. Cuerpo respuesta: {"status":"error","message":"Invalid input JSON on line 1, column 178: value must be non-empty and non-blank, if specified {propertyName: 'name'}","correlationId":"019eadd6-ca03-7074-8741-f67e145c4f33","category":"VALIDATION_ERROR"}. Propiedad ofensora: internal name 'name' (Empresa). Cuerpo solicitud: properties ["clave_de_desarrollador","name","representante_legal","motivo_de_interes"], filterGroups filters [{"propertyName":"name","value":"","operator":...}] -&gt; la app filtra companies por 'name' con value vacio (""), HubSpot rechaza por valor vacio en filtro.</t>
  </si>
  <si>
    <t>Plan PLAN-006; Toda busqueda de empresa deberia devolver 200. El 400 impide localizar la empresa y, por tanto, asociar el contacto/representante legal: relacionado con el problema historico de 'empresas sin contacto vinculado'.</t>
  </si>
  <si>
    <t>CON-228</t>
  </si>
  <si>
    <t>APP-007</t>
  </si>
  <si>
    <t>Contactos</t>
  </si>
  <si>
    <t>Nivel de registro (internal name: nivel_registro) | Contacto | Seleccion en lista desplegable, 4 opciones</t>
  </si>
  <si>
    <t>Fuera de alcance</t>
  </si>
  <si>
    <t>Fuera de alcance HubSpot — corresponde al formulario de onboarding en Monific</t>
  </si>
  <si>
    <t>Opciones del dropdown (etiqueta | nombre interno | registros con valor): '1. Registro simple'|1|69,051; '2. Perfil en proceso'|2|5,671; '3. Cuenta STP creada'|3|33,871; '4. Inversion activa'|4|20,209. Fuente: Settings&gt;Properties&gt;Contacto&gt;Nivel de registro&gt;Tipo de campo.</t>
  </si>
  <si>
    <t>Plan PLAN-007; Reglas 1-5 minuta 6-may: nivel KYC debe avanzar 1-&gt;2-&gt;3-&gt;4 (STP). Se espera que la mayoria progrese mas alla de Nivel 1.</t>
  </si>
  <si>
    <t>Auditoría: Fuera de alcance (decisión de alcance/MVP) — revisar si Monific lo acepta</t>
  </si>
  <si>
    <t>CON-229</t>
  </si>
  <si>
    <t>APP-008</t>
  </si>
  <si>
    <t>Clave de desarrollador | Empresa | Texto de una sola linea</t>
  </si>
  <si>
    <t>Verificar que la app escriba clave de desarrollador en toda empresa creada por API y que asocie el contacto (rep. legal). Investigar baja poblacion (3.16%): empresas creadas sin clave o sin asociacion. Relacionar con APP-006 (400 en companies/search).</t>
  </si>
  <si>
    <t>Settings&gt;Properties&gt;Empresa&gt;'Clave de desarrollador': Texto de una sola linea, grupo Informacion de la empresa, completacion 3.16%, 2 usos. Relacionado con problema historico: empresas sin contacto vinculado (rep. legal asociado solo manualmente).</t>
  </si>
  <si>
    <t>Plan PLAN-008; Minuta 6-may: Empresas con creacion automatica y clave de desarrollador poblada. Deberia poblarse en todas las empresas creadas por la app.</t>
  </si>
  <si>
    <t>CON-230</t>
  </si>
  <si>
    <t>APP-009</t>
  </si>
  <si>
    <t>Reglas nuevas propuestas (Contacto, tipo Numero): Saldo actual en cuenta; Saldo invertido; Valor de la cuenta; Ganado actual</t>
  </si>
  <si>
    <t>Pendiente — TI Monific</t>
  </si>
  <si>
    <t>Pendiente TI</t>
  </si>
  <si>
    <t>D7</t>
  </si>
  <si>
    <t>Definir mapeo y poblar via integracion: implementar el batch nocturno propuesto que actualice saldo disponible, dinero invertido total, valor total de cuenta y monto ganado. Confirmar internal names y unidades (MXN). Validar reglas de signo (&gt;=0, &gt;0).</t>
  </si>
  <si>
    <t>Settings&gt;Properties&gt;Contacto: 'Saldo actual en cuenta' (Numero, creado David Ochoa, 0%); 'Saldo invertido' (Numero, David Ochoa, 0%); 'Valor de la cuenta' (Numero, David Ochoa, 0%); 'Ganado actual' (Numero, Informacion del contacto). Internal names exactos: Verificacion pendiente.</t>
  </si>
  <si>
    <t>Plan PLAN-009; Minuta 6-may (reglas nuevas, no validadas): Saldo disponible (&gt;=0); Dinero invertido total (&gt;=0); Valor total de la cuenta (&gt;0); Monto ganado acumulado. Update via batch nocturno. Deberian poblarse por la integracion.</t>
  </si>
  <si>
    <t>Acción pendiente del lado de TI Monific</t>
  </si>
  <si>
    <t>CON-231</t>
  </si>
  <si>
    <t>APP-010</t>
  </si>
  <si>
    <t>Master desactualizado</t>
  </si>
  <si>
    <t>Propiedades de monto duplicadas/solapadas en Negocio</t>
  </si>
  <si>
    <t>Limpieza/racionalizacion de propiedades de monto: archivar las no usadas, documentar en master cual puebla la app y su unidad. Confirmar que Monific envia Numero (no string) a las propiedades Numero. Reducir deuda documental.</t>
  </si>
  <si>
    <t>Settings&gt;Properties&gt;Negocio (402 props). Busqueda 'monto' lista &gt;=10 propiedades de monto; solo 'Monto invertido' tiene 99.89% completacion, el resto 0-0.1%. Tipo Numero (relevante: el problema historico de 'monto como string' choca con propiedades Numero).</t>
  </si>
  <si>
    <t>Plan PLAN-010; Cada propiedad de monto deberia tener un origen y uso definido en el master, sin duplicados. Las activas en la integracion son tipo Numero.</t>
  </si>
  <si>
    <t>CON-232</t>
  </si>
  <si>
    <t>APP-011</t>
  </si>
  <si>
    <t>VEREDICTO Migracion-monific (cierre Paso 7)</t>
  </si>
  <si>
    <t>VEREDICTO: (a) DESACTIVAR la app y revocar/rotar su token. Riesgo de ruptura bajo: trama1 cubre el mismo scope de deals y Migracion no registra actividad. Antes de revocar: (1) confirmar con TI Monific que ningun job batch/cron de Monific use ese token, (2) export de respaldo de config. Mitiga superficie de riesgo CNBV (token sensitive ocioso).</t>
  </si>
  <si>
    <t>Evidencia consolidada: token vivo pat-na1-4b023**; 6 scopes solo deals (incluye highly_sensitive.read y sensitive.read); 0 calls/0 errores en ventana de 30 dias; scopes son subconjunto estricto de trama1-monific (ID 10092461). Propiedades de Negocio creadas por usuarios/HubSpot, no por la app.</t>
  </si>
  <si>
    <t>Plan PLAN-011; App legacy de migracion ya concluida debe desactivarse y revocarse su token.</t>
  </si>
  <si>
    <t>CON-233</t>
  </si>
  <si>
    <t>APP-012</t>
  </si>
  <si>
    <t>Nivel de registro (nivel_registro)</t>
  </si>
  <si>
    <t>Investigar la logica de transicion de nivel en la app: (1) confirmar si al crear cuenta STP la app escribe Nivel 3 directo sin pasar por Nivel 2 (regla 3 minuta 6-may: direccion + residente Mexico), o (2) si Nivel 2 se sobreescribe a Nivel 3 cuando llega la clave STP. Definir si Nivel 2 debe persistir como estado historico o es transitorio. Bug DISTINTO al de Nivel 1 atorado (APP-007).</t>
  </si>
  <si>
    <t>Conteos exactos por opcion de nivel_registro (Settings&gt;Properties&gt;Contacto, completacion 90.2%): '1. Registro simple'|valor 1|69,051 contactos; '2. Perfil en proceso'|valor 2|5,671; '3. Cuenta STP creada'|valor 3|33,871; '4. Inversion activa'|valor 4|20,209. Anomalia: Nivel 3 (33,871) &gt; Nivel 2 (5,671) por factor ~6x. Mismos conteos citados en APP-007.</t>
  </si>
  <si>
    <t>Plan PLAN-012; Embudo monotono decreciente 1&gt;=2&gt;=3&gt;=4 (cada contacto avanza secuencialmente: registro simple -&gt; perfil en proceso -&gt; cuenta STP -&gt; inversion activa). Nivel 2 deberia ser &gt;= Nivel 3.</t>
  </si>
  <si>
    <t>CON-234</t>
  </si>
  <si>
    <t>APP-013</t>
  </si>
  <si>
    <t>Universo Empresas / cruce master</t>
  </si>
  <si>
    <t>Actualizar master con cifras reales. Reenfocar el problema historico: la brecha de vinculacion es marginal (12 casos), no masiva.</t>
  </si>
  <si>
    <t>HubSpot 10-jun-2026: vista Empresas = 1,897 registros. Filtro 'Numero de contactos asociados = 0' =&gt; 12 empresas seleccionadas. 1897-12 = 1,885 con contacto.</t>
  </si>
  <si>
    <t>Plan PLAN-013; Master/minuta debe reflejar el universo real (1,897) y la tasa real de vinculacion empresa-contacto (99.37%), no la narrativa de 'muchas empresas sin contacto'.</t>
  </si>
  <si>
    <t>CON-235</t>
  </si>
  <si>
    <t>APP-014</t>
  </si>
  <si>
    <t>Creacion automatica de Empresa por API (regla minuta)</t>
  </si>
  <si>
    <t>Verificar por que la app crea tan pocas empresas. Confirmar si el alta automatica esta realmente activa o si las empresas entran mayoritariamente por otra via.</t>
  </si>
  <si>
    <t>HubSpot 10-jun: filtro 'Fecha de creacion posterior a 10-may-2026' = 35 empresas; sumando 'Fuente del registro = Integracion' = 3 empresas.</t>
  </si>
  <si>
    <t>Plan PLAN-014; Regla minuta: 'creacion automatica de empresa al darse de alta en Monific'. Se esperaria que la mayoria de altas recientes vengan por la app.</t>
  </si>
  <si>
    <t>CON-236</t>
  </si>
  <si>
    <t>APP-015</t>
  </si>
  <si>
    <t>Representante legal (representante_legal)</t>
  </si>
  <si>
    <t>Pendiente — BNO debe definir</t>
  </si>
  <si>
    <t>Condicionado a BNO</t>
  </si>
  <si>
    <t>D10</t>
  </si>
  <si>
    <t>Implementar asociacion empresa&lt;-&gt;contacto real (rep. legal como Contacto asociado por API), no solo texto. Mantener el campo texto como respaldo.</t>
  </si>
  <si>
    <t>HubSpot Settings&gt;Propiedades&gt;Empresa: 'Representante legal', internal name representante_legal, tipo Texto de una sola linea. Pantalla Uso: tasa de relleno 3.16% (60 de 1,897).</t>
  </si>
  <si>
    <t>Plan PLAN-015; Recomendacion BNO: mantener datos del rep. legal en la Empresa Y vincular un Contacto formal. La asociacion a Contacto no se cubre con un campo de texto.</t>
  </si>
  <si>
    <t>TI hizo su parte; depende de definición de BNO</t>
  </si>
  <si>
    <t>CON-237</t>
  </si>
  <si>
    <t>APP-016</t>
  </si>
  <si>
    <t>Clave de desarrollador (clave_de_desarrollador)</t>
  </si>
  <si>
    <t>Corregir cifra en bitacora: 60 empresas con clave (no 2). Investigar por que solo 3.16% si la regla es creacion automatica con clave de desarrollador.</t>
  </si>
  <si>
    <t>HubSpot Settings&gt;Propiedades&gt;Empresa, 'Clave de desarrollador' (clave_de_desarrollador), pantalla Uso: 'se utiliza en 2 lugares', tasa de relleno 3.16% (60 de 1,897).</t>
  </si>
  <si>
    <t>Plan PLAN-016; APP-008 (Chat 1) reporto '3.16% solo 2 usos'. El % es correcto pero el conteo real de registros poblados es 60, no 2. '2' eran ubicaciones de uso en UI.</t>
  </si>
  <si>
    <t>CON-238</t>
  </si>
  <si>
    <t>APP-017</t>
  </si>
  <si>
    <t>Creación de grupo de propiedades: POST /crm/properties/v3/companies/groups</t>
  </si>
  <si>
    <t>Ajustar app: chequear si el grupo existe (GET) antes de POST, o mover la creacion a un paso de inicializacion unico. Elimina ruido recurrente en logs.</t>
  </si>
  <si>
    <t>Log 4XX trama1-monific: 409 POST /crm/properties/v3/companies/groups, ultima 9-jun-2026 17:41 CST. Body solicitud: name=monific_integration, label=Monific Integration. Respuesta: "The Group named 'monific_integration' already exists".</t>
  </si>
  <si>
    <t>Plan PLAN-017; Idempotencia: chequear existencia del grupo (GET) antes de POST. Crear el grupo una sola vez en setup, no por corrida.</t>
  </si>
  <si>
    <t>CON-239</t>
  </si>
  <si>
    <t>APP-018</t>
  </si>
  <si>
    <t>POST /crm-search-public/v3/companies/search (busqueda por nombre)</t>
  </si>
  <si>
    <t>Priorizar correccion de APP-006: no enviar propertyName 'name' con value vacio. Confirmar fix con BNO; impacta directamente la asociacion empresa-contacto.</t>
  </si>
  <si>
    <t>Log 4XX trama1-monific: 400 POST /crm-search-public/v3/companies/search. 12-may 13:14 (x3), 4-jun 12:39 (x3), 9-jun 13:23 (x3). Total 9 en ventana 30 dias.</t>
  </si>
  <si>
    <t>Plan PLAN-018; APP-006 esperaba correccion del constructor del search (no enviar filtro name vacio). A 10-jun sigue fallando: pendiente de fix.</t>
  </si>
  <si>
    <t>CON-240</t>
  </si>
  <si>
    <t>APP-019</t>
  </si>
  <si>
    <t>Scopes crm.objects.companies.sensitive.read y crm.objects.companies.highly_sensitive.read</t>
  </si>
  <si>
    <t>Compartido BNO+Monific (Compliance)</t>
  </si>
  <si>
    <t>Compliance/CNBV: revocar companies.sensitive.read y .highly_sensitive.read si no hay datos sensibles ni uso. Documentar justificacion de cada scope. Dejar solo .read/.write.</t>
  </si>
  <si>
    <t>App trama1-monific (ID 10092461) &gt; Autenticacion &gt; Permisos: incluye crm.objects.companies.highly_sensitive.read, .sensitive.read, .read y .write. Inventario Propiedades de Empresa (169): ninguna marcada Sensible/Altamente sensible.</t>
  </si>
  <si>
    <t>Plan PLAN-019; Principio de minimo privilegio (CNBV/Ley Fintech): scopes sensitive/highly_sensitive solo deben concederse si hay datos sensibles que leer y la app los usa.</t>
  </si>
  <si>
    <t>CON-241</t>
  </si>
  <si>
    <t>APP-020</t>
  </si>
  <si>
    <t>Propiedad faltante</t>
  </si>
  <si>
    <t>Fecha de ultima sincronizacion / Monific Last Synced At (monific_last_synced_at)</t>
  </si>
  <si>
    <t>Obsoleto</t>
  </si>
  <si>
    <t>No aplica / informativo</t>
  </si>
  <si>
    <t>Que la app escriba monific_last_synced_at en cada sincronizacion. Alinear nombre EN/ES con master. Util para evidenciar a CNBV la frecuencia real de sync.</t>
  </si>
  <si>
    <t>HubSpot Settings&gt;Propiedades&gt;Empresa: 'Monific Last Synced At' (monific_last_synced_at), tipo Selector de fecha y hora. Pantalla Uso: 'se utiliza en 0 lugares'; no se muestra tasa de relleno (=0/muy bajo).</t>
  </si>
  <si>
    <t>Plan PLAN-020; Minuta 6-may: la app debe poblar 'fecha de ultima sincronizacion', actualizable en cada sync. Ademas el nombre en HubSpot esta en ingles; la minuta lo nombra en espanol.</t>
  </si>
  <si>
    <t>Auditoría: Obsoleto</t>
  </si>
  <si>
    <t>CON-242</t>
  </si>
  <si>
    <t>APP-021</t>
  </si>
  <si>
    <t>Motivo de interes (motivo_de_interes)</t>
  </si>
  <si>
    <t>Documentar en master el % real (3.32%) y la fuente hibrida. Confirmar si los 3 registros extra via formulario son esperados.</t>
  </si>
  <si>
    <t>HubSpot Settings&gt;Propiedades&gt;Empresa: 'Motivo de interes' (motivo_de_interes), tipo Seleccion en lista desplegable. Pantalla Uso: 'se utiliza en 3 lugares' (formulario de registro + tarjeta + vista), tasa de relleno 3.32% (63 de 1,897).</t>
  </si>
  <si>
    <t>Plan PLAN-021; Minuta 6-may lista 'motivo de interes' entre propiedades pobladas por la app. Master debe registrar % real (3.32%) y la entrada hibrida (app + formulario).</t>
  </si>
  <si>
    <t>CON-243</t>
  </si>
  <si>
    <t>APP-022</t>
  </si>
  <si>
    <t>nivel_registro / Nivel 1 'Registro simple'</t>
  </si>
  <si>
    <t>Fuera de alcance HubSpot — captura de dirección vive en formulario interno Monific</t>
  </si>
  <si>
    <t>Conteo HubSpot 10-jun-2026: nivel_registro=1 -&gt; 69,052. Muestra 20 mas recientes (todos via INTEGRATION): 20/20 con monific_user_id, firstname, phone, tipo_de_cliente, motivo_de_interes; 0/20 con address/city/country. n1_kyc=59,504 (86.2%).</t>
  </si>
  <si>
    <t>Plan PLAN-022; Avanzar a Nivel 2 al capturar direccion + residente Mexico (Regla 3)</t>
  </si>
  <si>
    <t>CON-244</t>
  </si>
  <si>
    <t>APP-023</t>
  </si>
  <si>
    <t>Direccion / address, city, country</t>
  </si>
  <si>
    <t>Fuera de alcance HubSpot — datos de residencia viven en formulario interno Monific</t>
  </si>
  <si>
    <t>Conteo 10-jun-2026: contactos con address=34, con city=70 de 142,799. Sin direccion el avance a Nivel 2 (Regla 3) es inalcanzable; explica la base del atoron Nivel 1.</t>
  </si>
  <si>
    <t>Plan PLAN-023; Capturada en registro para disparar Regla 3 (avance a Nivel 2)</t>
  </si>
  <si>
    <t>CON-245</t>
  </si>
  <si>
    <t>APP-024</t>
  </si>
  <si>
    <t>nivel_registro (anomalia Nivel 2 vs Nivel 3)</t>
  </si>
  <si>
    <t>Insertar condicion: solo subir a Nivel 3 si nivel_registro previo = 2. Corregir WF Perfil N03 / WF-028 para respetar secuencia. Reporteo de embudo hoy esta distorsionado.</t>
  </si>
  <si>
    <t>VEREDICTO: hipotesis (a) confirmada. n3_with_stp=0 (0 de 33,872 en Nivel 3 tienen stp_account_date). WF 'Perfil N03' (Flow 1808747892) setea nivel_registro=3 directo (ver BIT-043 2a auditoria), saltando Nivel 2 que depende de direccion no capturada.</t>
  </si>
  <si>
    <t>Plan PLAN-024; Flujo lineal 1-&gt;2-&gt;3-&gt;4; Nivel 2 deberia ser &gt;= Nivel 3</t>
  </si>
  <si>
    <t>CON-246</t>
  </si>
  <si>
    <t>APP-025</t>
  </si>
  <si>
    <t>Fecha cuenta STP / stp_account_date</t>
  </si>
  <si>
    <t>D8</t>
  </si>
  <si>
    <t>trama1 debe escribir stp_account_date al crear la cuenta STP y usarla como condicion del avance a Nivel 3.</t>
  </si>
  <si>
    <t>Conteo 10-jun-2026: stp_account_date HAS_PROPERTY = 0. Sin embargo Nivel 3 'Cuenta STP creada' tiene 33,872 contactos: el avance a Nivel 3 NO se basa en esta propiedad sino en escritura directa de nivel_registro. Falta trazabilidad de la fecha STP.</t>
  </si>
  <si>
    <t>Plan PLAN-025; Poblada al obtener clave STP, como evidencia/disparador de Regla 4 (Nivel 3)</t>
  </si>
  <si>
    <t>CON-247</t>
  </si>
  <si>
    <t>APP-026</t>
  </si>
  <si>
    <t>Fecha primera inversion / date_first_investment</t>
  </si>
  <si>
    <t>D9</t>
  </si>
  <si>
    <t>trama1 debe escribir date_first_investment en la primera compra y usarla como condicion de Nivel 4.</t>
  </si>
  <si>
    <t>Conteo 10-jun-2026: date_first_investment HAS_PROPERTY = 0. Nivel 4 'Inversion activa' tiene 20,209 contactos y lifecycle customer=20,151 (coherente), pero la fecha de primera inversion no se registra: avance a Nivel 4 sin propiedad de respaldo.</t>
  </si>
  <si>
    <t>Plan PLAN-026; Poblada en primera compra de participaciones, disparador de Regla 5 (Nivel 4)</t>
  </si>
  <si>
    <t>CON-248</t>
  </si>
  <si>
    <t>APP-027</t>
  </si>
  <si>
    <t>Regla 1 Creacion / deduplicacion por correo (email)</t>
  </si>
  <si>
    <t>D4</t>
  </si>
  <si>
    <t>Implementar upsert por email: buscar primero y hacer PATCH; reservar POST solo si no existe. Elimina los 409 y previene duplicados.</t>
  </si>
  <si>
    <t>Logs trama1 30d (muestra 6,000/10,989): POST /contacts 409 x13 con timestamps (ej. 2026-06-05T23:14:39, 2026-05-31T21:42:27, 2026-05-28T00:31:00). Tambien 805 llamadas a /crm-search-public/v3/contacts/search (la app busca pero igual hace POST que choca).</t>
  </si>
  <si>
    <t>Plan PLAN-027; Si correo existe, asociar/actualizar (upsert/PATCH) en lugar de crear</t>
  </si>
  <si>
    <t>CON-249</t>
  </si>
  <si>
    <t>APP-028</t>
  </si>
  <si>
    <t>Scope crm.objects.contacts.sensitive.read</t>
  </si>
  <si>
    <t>Revisar con BNO si retirar el scope sensitive.read de trama1 hasta que existan propiedades sensibles reales.</t>
  </si>
  <si>
    <t>Properties API 10-jun-2026: 0 de 419 propiedades de Contacto con dataSensitivity != none. Caso analogo a APP-019 (Empresas). Logs: sin endpoints de lectura de propiedades sensibles.</t>
  </si>
  <si>
    <t>Plan PLAN-028; Solo scopes efectivamente usados (minimo privilegio)</t>
  </si>
  <si>
    <t>CON-250</t>
  </si>
  <si>
    <t>APP-029</t>
  </si>
  <si>
    <t>Codigo de referido / codigo_de_referido</t>
  </si>
  <si>
    <t>Verificar que trama1 inyecte codigo_de_referido en todos los registros con referido y backfill historico si aplica.</t>
  </si>
  <si>
    <t>Conteo 10-jun-2026: codigo_de_referido HAS_PROPERTY = 9,285 (6.5%). Baja cobertura del programa de referidos; limita atribucion y campanas de referral.</t>
  </si>
  <si>
    <t>Plan PLAN-029; Poblada en KYC (Regla 2) para todo cliente referido</t>
  </si>
  <si>
    <t>CON-251</t>
  </si>
  <si>
    <t>APP-030</t>
  </si>
  <si>
    <t>Motivo de interes / motivo_de_interes</t>
  </si>
  <si>
    <t>Confirmar si el campo es obligatorio en el front; si no aporta, evaluar retirarlo del master o reforzar su captura.</t>
  </si>
  <si>
    <t>Conteo 10-jun-2026: motivo_de_interes HAS_PROPERTY = 39,656 (27.8%). La minuta la lista en Reglas 1 y 2 pero solo 1 de cada 4 contactos la tiene.</t>
  </si>
  <si>
    <t>Plan PLAN-030; Inyectada en creacion (Regla 1) y KYC (Regla 2)</t>
  </si>
  <si>
    <t>CON-252</t>
  </si>
  <si>
    <t>APP-031</t>
  </si>
  <si>
    <t>Saldo actual (current_account_balance), Saldo invertido (invested_balance), Valor cuenta (account_value), Ganado actual (current_profit)</t>
  </si>
  <si>
    <t>Activar el batch/sync nocturno que las pueble desde backend Monific, o conectar via trama1 en tiempo real. Sin esto las 4 propiedades no aportan valor.</t>
  </si>
  <si>
    <t>Conteo 10-jun-2026: account_value, current_account_balance, invested_balance, current_profit todas HAS_PROPERTY = 0. Confirma y amplia APP-009: las 4 propiedades de David Ochoa siguen vacias en toda la base. Dashboards financieros del contacto en cero.</t>
  </si>
  <si>
    <t>Plan PLAN-031; Pobladas por sincronizacion periodica desde backend Monific</t>
  </si>
  <si>
    <t>CON-253</t>
  </si>
  <si>
    <t>APP-032</t>
  </si>
  <si>
    <t>Nombre completo / nombre_completo_</t>
  </si>
  <si>
    <t>Archivar nombre_completo_ o derivarla por formula de firstname+lastname; usar firstname/lastname como fuente unica.</t>
  </si>
  <si>
    <t>Conteo 10-jun-2026: nombre_completo_ HAS_PROPERTY = 0; firstname = 89,790 (62.9%); lastname = 89,560 (62.7%). La propiedad nombre_completo_ es redundante y nunca se escribe.</t>
  </si>
  <si>
    <t>Plan PLAN-032; Una sola fuente de nombre; evitar propiedad duplicada</t>
  </si>
  <si>
    <t>CON-254</t>
  </si>
  <si>
    <t>APP-033</t>
  </si>
  <si>
    <t>nivel_registro (contactos sin nivel)</t>
  </si>
  <si>
    <t>Backfill nivel_registro=1 a contactos sin nivel que tengan KYC; segmentar y excluir leads no-app. Garantizar que trama1 siempre escriba nivel al crear.</t>
  </si>
  <si>
    <t>Conteo 10-jun-2026: nivel_registro NOT_HAS_PROPERTY = 13,994 (9.8%) de 142,799. Estos contactos no entran al embudo de niveles; mezcla de leads viejos pre-app y registros donde la app no escribio el nivel.</t>
  </si>
  <si>
    <t>Plan PLAN-033; Todo contacto creado debe recibir nivel_registro=1 (Regla 2)</t>
  </si>
  <si>
    <t>CON-255</t>
  </si>
  <si>
    <t>APP-034</t>
  </si>
  <si>
    <t>Asociacion Contacto-Empresa (associatedcompanyid)</t>
  </si>
  <si>
    <t>Nota informativa</t>
  </si>
  <si>
    <t>Sin accion correctiva. Considerar al disenar dashboards que cruzen Contacto-Empresa (cobertura baja esperada).</t>
  </si>
  <si>
    <t>Conteo 10-jun-2026: associatedcompanyid HAS_PROPERTY = 3,312; NOT_HAS = 139,487. Coherente con modelo B2C de inversion retail. Se documenta para reporteo; no es un defecto.</t>
  </si>
  <si>
    <t>Plan PLAN-034; Modelo B2C: la mayoria de contactos no requiere empresa (informativo)</t>
  </si>
  <si>
    <t>Auditoría: Nota informativa</t>
  </si>
  <si>
    <t>CON-256</t>
  </si>
  <si>
    <t>APP-035</t>
  </si>
  <si>
    <t>nivel_registro hardcodeado por Workflow</t>
  </si>
  <si>
    <t>Reescribir los WF de avance de nivel con condiciones: a Nivel 2 si direccion+residencia; a Nivel 3 si clave STP y nivel previo=2; a Nivel 4 si primera inversion. No duplicar: ya documentado como BIT-043 en 2a auditoria; coordinar correccion conjunta.</t>
  </si>
  <si>
    <t>Cruce 2a auditoria (Workflows), BIT-043: 'Nivel de registro hardcodeado a 3 sin logica condicional. Todo negocio en Perfil Activo recibe Nivel 3 fijo'. Evidencia: Flow 1808747892 'Perfil N03' accion 'Editar registro: Define Nivel de registro como 3. Cuenta STP creada'. Mismo valor 3 en WF-028. Causa raiz de la anomalia Nivel 2-&gt;3 (APP-024).</t>
  </si>
  <si>
    <t>Plan PLAN-035; El avance de nivel debe ser condicional segun la etapa real (Reglas 3-5)</t>
  </si>
  <si>
    <t>CON-257</t>
  </si>
  <si>
    <t>APP-036</t>
  </si>
  <si>
    <t>Pipeline de Negocio (pipeline / hs_pipeline)</t>
  </si>
  <si>
    <t>BNO + Monific (David Ochoa)</t>
  </si>
  <si>
    <t>Consolidar a un pipeline único de Mercado Primario; archivar/eliminar "Pipeline Inversionistas" (vacío) y pipelines redundantes. Documentar mapeo pipeline↔etapa en master.</t>
  </si>
  <si>
    <t>Vista Negocios 10-jun-2026: contador 186,883 (title=186,883). Filtro pipeline="inversión": 186,699 (186.7K). Filtro pipeline="Pipeline Inversionistas": 1 deal ("prueba"). Dropdown de pipelines lista 5 pipelines.</t>
  </si>
  <si>
    <t>Plan PLAN-036; Pipelines normalizados: un único pipeline de Mercado Primario con nombre claro. Sin duplicados ni pipelines vacíos.</t>
  </si>
  <si>
    <t>CON-258</t>
  </si>
  <si>
    <t>APP-037</t>
  </si>
  <si>
    <t>Valor / Importe (amount)</t>
  </si>
  <si>
    <t>Monific (Jazz) + BNO</t>
  </si>
  <si>
    <t>Definir propiedad de monto canónica y mapear trama1 para escribirla siempre. Backfill histórico. Jazz revisa el código de envío del monto.</t>
  </si>
  <si>
    <t>Vista Negocios 10-jun-2026, filtro "Valor es mayor que 0": 270 resultados sobre 186,883 totales (0.14%). Records muestreados: vvsg1691@proton.me (8-mar-2026) Valor $0 / Monto invertido $0; olga.loredo100@gmail.com (10-jun-2026) Valor $10,000.</t>
  </si>
  <si>
    <t>Plan PLAN-037; El monto de la inversión debe poblarse en una propiedad de monto consistente (amount nativa o una sola propiedad designada) en el 100% de los deals de Mercado Primario.</t>
  </si>
  <si>
    <t>CON-259</t>
  </si>
  <si>
    <t>APP-038</t>
  </si>
  <si>
    <t>POST /crm/objects/v3/deals – 400 por dropdown nombre_de_proyecto</t>
  </si>
  <si>
    <t>Normalizar encoding (NFC/tilde) en trama1 antes del POST, o mapear por internalValue del dropdown en vez del label. Reprocesar los ~1,125 deals fallidos del mes.</t>
  </si>
  <si>
    <t>Logs API trama1 (ID 10092461), 12-may a 10-jun-2026. Filtro POST + path /crm/objects/v3/deals: 125 páginas. Añadiendo 4XX: 45 páginas. Cuerpo de respuesta 400 (ID 114641c4-faa2-...): {"status":"error","message":"Property values were not valid:..."} listando opciones "Casa Cobá, Casa Cobá - 2/3/4, Casa Roma Norte, Cerrada del Carmen 31...".</t>
  </si>
  <si>
    <t>Plan PLAN-038; Tasa de éxito POST /deals cercana al 100%. 0 desincronizaciones Admin↔HubSpot por encoding. | Backfill ~1,125 deals (D6) pendiente de TI</t>
  </si>
  <si>
    <t>CON-260</t>
  </si>
  <si>
    <t>APP-039</t>
  </si>
  <si>
    <t>Monto invertido / Valor (tipo de dato del monto)</t>
  </si>
  <si>
    <t>Confirmar con Jazz si el envío de monto se corrigió recientemente y backfill histórico. Documentar propiedad canónica.</t>
  </si>
  <si>
    <t>Muestreo deals: vvsg1691@proton.me (8-mar-2026) Valor $0 / Monto invertido $0; olga.loredo100@gmail.com (10-jun-2026) Valor $10,000. HubSpot renderiza ambos con formato $ (número). 0.14% de deals tienen Valor&gt;0 (APP-037).</t>
  </si>
  <si>
    <t>Plan PLAN-039; Monto debe llegar consistentemente a una propiedad numérica para el 100% de deals de Mercado Primario. Definir propiedad canónica.</t>
  </si>
  <si>
    <t>CON-261</t>
  </si>
  <si>
    <t>APP-040</t>
  </si>
  <si>
    <t>Propiedades de monto solapadas (17 distintas)</t>
  </si>
  <si>
    <t>Archivar las no usadas. Documentar en master la canónica. Reducir deuda.</t>
  </si>
  <si>
    <t>Settings&gt;Properties&gt;Negocio, búsqueda "monto"/"importe": 17 resultados. Incluye Monto invertido, Monto solicitado, Monto solicitado (MXN), Monto esperado de pago, Monto total recibido, Monto Fondeado Actual, Monto de primera inversión, Monto fondeado del proyecto, Monto máximo/mínimo de campaña.</t>
  </si>
  <si>
    <t>Plan PLAN-040; Una sola propiedad canónica de monto documentada en master, resto archivado.</t>
  </si>
  <si>
    <t>CON-262</t>
  </si>
  <si>
    <t>APP-041</t>
  </si>
  <si>
    <t>Tipo de negocio (dealtype) | Botones de selección</t>
  </si>
  <si>
    <t>Definir estrategia de segmentación con BNO y Monific antes de Chat 5 (Mercado Secundario).</t>
  </si>
  <si>
    <t>Settings&gt;Properties&gt;Negocio&gt;"Tipo de negocio" (dealtype, nativa): se usa en 4 deals, % completación 0%. Opciones: Inversionista, Solicitante, Ambos.</t>
  </si>
  <si>
    <t>Plan PLAN-041; Decidir entre: (a) reconfigurar dealtype con opciones de mercado; (b) crear propiedad custom "Mercado" (Primario/Secundario/Campaña); (c) abandonar dealtype y segmentar solo por pipeline.</t>
  </si>
  <si>
    <t>CON-263</t>
  </si>
  <si>
    <t>APP-042</t>
  </si>
  <si>
    <t>Deal padre / Negocio principal (NO existe)</t>
  </si>
  <si>
    <t>D12</t>
  </si>
  <si>
    <t>BNO crea la propiedad/asociación. TI Monific implementa el mapeo en trama1.</t>
  </si>
  <si>
    <t>Settings&gt;Properties&gt;Negocio: búsqueda "padre"/"principal"/"reinversión"/"origen" sin resultados estructurales. Inventario completo de 402 props paginado, no aparece.</t>
  </si>
  <si>
    <t>Plan PLAN-042; Crear propiedad o asociación "Deal padre". trama1 debe escribirla al crear cada deal de reinversión vinculándolo al principal.</t>
  </si>
  <si>
    <t>CON-264</t>
  </si>
  <si>
    <t>APP-043</t>
  </si>
  <si>
    <t>Scopes crm.objects.deals.sensitive.read y crm.objects.deals.highly_sensitive.read</t>
  </si>
  <si>
    <t>Compliance/CNBV: revocar deals.sensitive.read y .highly_sensitive.read si no hay datos sensibles ni uso documentado.</t>
  </si>
  <si>
    <t>Por analogía con APP-019/APP-028 (0 props sensibles en Empresas y Contactos). Logs trama1 30d: sin endpoints de lectura sensible de deals.</t>
  </si>
  <si>
    <t>Plan PLAN-043; Principio de mínimo privilegio CNBV/Ley Fintech: scopes sensitive solo si hay datos sensibles y la app los usa.</t>
  </si>
  <si>
    <t>CON-265</t>
  </si>
  <si>
    <t>APP-044</t>
  </si>
  <si>
    <t>Creación de grupo de propiedades: POST /crm/properties/v3/deals/groups</t>
  </si>
  <si>
    <t>Hacer idempotente la creación de grupos en los 3 objetos. Coordinar con APP-003 y APP-017.</t>
  </si>
  <si>
    <t>Logs trama1 (30d): 409 POST /crm/properties/v3/deals/groups. Comportamiento idéntico al de companies/groups.</t>
  </si>
  <si>
    <t>Plan PLAN-044; Idempotencia: GET antes de POST, o crear grupos una sola vez en setup.</t>
  </si>
  <si>
    <t>CON-266</t>
  </si>
  <si>
    <t>APP-045</t>
  </si>
  <si>
    <t>Inventario 402 propiedades de Negocio</t>
  </si>
  <si>
    <t>Limpieza/racionalización: archivar las 383 vacías. Documentar en master las 18 activas con su origen y uso.</t>
  </si>
  <si>
    <t>Settings&gt;Properties&gt;Negocio: 402 props. Paginado en 41 páginas (10 props/pág). 18 pobladas, 383 vacías. 70 props creadas por usuarios Monific.</t>
  </si>
  <si>
    <t>Plan PLAN-045; Cada propiedad debe tener uso documentado en master. &lt;5% de las custom de usuarios se usan.</t>
  </si>
  <si>
    <t>CON-267</t>
  </si>
  <si>
    <t>APP-046</t>
  </si>
  <si>
    <t>nombre_de_proyecto / causa raíz textual del 400</t>
  </si>
  <si>
    <t>Normalizar UTF-8 NFC en el lado Admin o crear opciones equivalentes sin tilde. Backfill de los ~1,125 deals fallidos en 30d.</t>
  </si>
  <si>
    <t>Logs trama1, registro 400 POST /crm/objects/v3/deals (30d). Cuerpo respuesta literal: "Property values were not valid: ..." con lista de opciones válidas citada arriba.</t>
  </si>
  <si>
    <t>Plan PLAN-046; Catálogo de opciones del dropdown sincronizado con Admin.Monific via UTF-8 NFC normalizado. | Backfill ~1,125 deals (D6) pendiente de TI</t>
  </si>
  <si>
    <t>CON-268</t>
  </si>
  <si>
    <t>APP-047</t>
  </si>
  <si>
    <t>Deals creados en últimos 30 días por pipeline</t>
  </si>
  <si>
    <t>Informativo. Coordinar con APP-036 para consolidación de pipelines.</t>
  </si>
  <si>
    <t>Vista Negocios, filtro "Fecha de creación posterior a 11/05/2026" = 2,011 deals. Sub-filtro "Pipeline Inversionistas" = 0. Pipeline "inversión" recibe el grueso.</t>
  </si>
  <si>
    <t>Plan PLAN-047; Documentar pipeline real de operación; consolidar nomenclatura.</t>
  </si>
  <si>
    <t>CON-269</t>
  </si>
  <si>
    <t>APP-048</t>
  </si>
  <si>
    <t>Pipelines de Negocio (5) / ubicacion de Mercado Secundario</t>
  </si>
  <si>
    <t>D11</t>
  </si>
  <si>
    <t>Confirmar con B&amp;O si Mercado Secundario opera fuera de HubSpot o debe migrarse a pipeline propio. Descartar/documentar pipelines vacios</t>
  </si>
  <si>
    <t>Filtro UI Negocios&gt;Pipeline (11-jun-2026): inversion muestra resultados; los 4 restantes muestran 'No hay Negocios que coinciden con los filtros actuales'</t>
  </si>
  <si>
    <t>Plan PLAN-048; Mercado Secundario con pipeline/etapas propias y volumen &gt;0 si opera en HubSpot</t>
  </si>
  <si>
    <t>CON-270</t>
  </si>
  <si>
    <t>APP-049</t>
  </si>
  <si>
    <t>Propiedad mercado_secundario (checkbox booleano)</t>
  </si>
  <si>
    <t>Definir con B&amp;O si Mercado Secundario se modela por esta propiedad o por pipeline. Si se usa, poblarla desde trama1; si no opera, archivarla</t>
  </si>
  <si>
    <t>Settings&gt;Properties&gt;Negocio&gt;mercado_secundario&gt;Uso: 'se utiliza en 1 lugar', tasa de relleno 0% (0 de 186,949), Calidad de datos (0). 11-jun-2026</t>
  </si>
  <si>
    <t>Plan PLAN-049; Si hay Mercado Secundario activo, mercado_secundario poblado en los deals correspondientes (&gt;0%)</t>
  </si>
  <si>
    <t>CON-271</t>
  </si>
  <si>
    <t>APP-050</t>
  </si>
  <si>
    <t>Propiedad estatus_ultima_campana (lista desplegable)</t>
  </si>
  <si>
    <t>Sin acción correctiva — no hay bidireccionalidad de campañas</t>
  </si>
  <si>
    <t>Settings&gt;Properties&gt;Negocio&gt;estatus_ultima_campana&gt;Tipo de campo: Opciones activas (2): 'En curso', 'Liquidada'. Creada por David Ochoa. 11-jun-2026</t>
  </si>
  <si>
    <t>Plan PLAN-050; 3 estados segun minuta: En fondeo / Fondeada / Liquidada (o equivalentes)</t>
  </si>
  <si>
    <t>CON-272</t>
  </si>
  <si>
    <t>APP-051</t>
  </si>
  <si>
    <t>Bidireccionalidad Monific&lt;-&gt;HubSpot (webhooks / PATCH estados de campana)</t>
  </si>
  <si>
    <t>Private Apps&gt;trama1-monific&gt;Webhooks: 0 suscripciones (11-jun-2026). Registros&gt;Llamadas API filtro PATCH path=deals: 11 PATCH, todos 9-jun-2026; mayoria PATCH es a /contacts</t>
  </si>
  <si>
    <t>Plan PLAN-051; Si la bidireccionalidad opera: suscripciones webhook activas sobre deals y/o PATCH recurrentes de estado de campana desde trama1</t>
  </si>
  <si>
    <t>CON-273</t>
  </si>
  <si>
    <t>APP-052</t>
  </si>
  <si>
    <t>POST /deals errores 400 por encoding tilde en nombre_de_proyecto</t>
  </si>
  <si>
    <t>Confirmar con B&amp;O que el fix de nombre_de_proyecto (9-jun) es definitivo y monitorear 4XX. Cerrar/actualizar APP-038 si se confirma resuelto. Mantener validacion de encoding en el origen</t>
  </si>
  <si>
    <t>Registros&gt;Llamadas API, filtro 4XX, Ultimos 30 dias: 'Ningun registro coincide'. Filtro POST: 201 en /deals. 11-jun-2026</t>
  </si>
  <si>
    <t>Plan PLAN-052; 0% de error en POST /deals (estado deseado ya alcanzado), con causa raiz documentada y verificada | Backfill ~1,125 deals (D6) pendiente de TI</t>
  </si>
  <si>
    <t>CON-274</t>
  </si>
  <si>
    <t>APP-053</t>
  </si>
  <si>
    <t>Reinversion Molly/Bella: encadenamiento de deals (Deal padre o asociacion deal&lt;-&gt;deal)</t>
  </si>
  <si>
    <t>Si la reinversion debe trazarse en HubSpot, definir con B&amp;O propiedad Deal padre o asociacion deal&lt;-&gt;deal y poblarla desde trama1. Si la trazabilidad vive solo en Admin.Monific, documentar el limite</t>
  </si>
  <si>
    <t>Record Negocio&gt;panel derecho&gt;seccion Negocios: sin contador ni items en 2 deals inspeccionados (11-jun-2026). Ambos creados por trama1-monific</t>
  </si>
  <si>
    <t>Plan PLAN-053; Reinversion trazable en HubSpot: asociacion deal&lt;-&gt;deal o propiedad Deal padre poblada</t>
  </si>
  <si>
    <t>CON-275</t>
  </si>
  <si>
    <t>APP-054</t>
  </si>
  <si>
    <t>Propiedades de Campana de Fondeo: maximum_campaign_amount, minimum_campaign_amount, estatus_ultima_campana, fechas/material</t>
  </si>
  <si>
    <t>Settings&gt;Properties&gt;Negocio: minimum/maximum_campaign_amount&gt;Monitorizar&gt;Uso (0); estatus_ultima_campana&gt;Uso: 2 de 186,949 (0%). 11-jun-2026</t>
  </si>
  <si>
    <t>Plan PLAN-054; Si Campanas operan en HubSpot, montos y estatus poblados en los deals de campana (&gt;0%)</t>
  </si>
  <si>
    <t>CON-276</t>
  </si>
  <si>
    <t>APP-055</t>
  </si>
  <si>
    <t>Propiedad Valor (amount) - tasa de relleno</t>
  </si>
  <si>
    <t>Validar con B&amp;O una muestra de deals para confirmar amount&gt;0 real. Si es mejora real, actualizar/cerrar APP-037. Definir reporte de monto excluyendo valores 0</t>
  </si>
  <si>
    <t>Settings&gt;Properties&gt;Negocio&gt;amount (Valor)&gt;Monitorizar&gt;Uso: 'se utiliza en 7 lugares', tasa de relleno 99.89% (186,755 de 186,954). 11-jun-2026</t>
  </si>
  <si>
    <t>Plan PLAN-055; Reconciliar metrica: confirmar si la mejora es real (backfill de amount) o diferencia metodologica (relleno vs amount&gt;0)</t>
  </si>
  <si>
    <t>CON-277</t>
  </si>
  <si>
    <t>APP-056</t>
  </si>
  <si>
    <t>nombre_de_proyecto (POST /crm/objects/v3/deals)</t>
  </si>
  <si>
    <t>Normalizar internal values de opciones a ASCII (ej. casa_coba) y confirmar que la app envia por internalValue. Riesgo bajo/no urgente: el fix detuvo nuevos 4XX, pero el esquema sigue con acentos (riesgo de reincidencia si se agregan opciones nuevas).</t>
  </si>
  <si>
    <t>Registros app trama1-monific (ID 10092461), 11-jun-2026: filtro POST + /crm/objects/v3/deals + 4XX = 38 pag x25; 2XX = 83 pag x25. Propiedad nombre_de_proyecto: 172 opciones activas, 0 archivadas; opciones 24-27 Etiqueta=Nombre interno="Casa Cobá" / "Casa Cobá - 2/3/4".</t>
  </si>
  <si>
    <t>Plan PLAN-056; 0 errores 4XX en POST /deals e internal names de opciones normalizados a ASCII (sin tilde/espacios)</t>
  </si>
  <si>
    <t>CON-278</t>
  </si>
  <si>
    <t>APP-057</t>
  </si>
  <si>
    <t>amount (Importe)</t>
  </si>
  <si>
    <t>Cerrar contradiccion APP-037 vs APP-055: prevalece APP-055 (amount poblado ~99.9%). APP-037 (0.14% con amount&gt;0) quedo obsoleto, probablemente medido antes de que la app poblara amount. Sin accion correctiva; solo cierre documental.</t>
  </si>
  <si>
    <t>API crm-search (0-3) 11-jun-2026: LTE/EQ 0 = 270; NOT_HAS_PROPERTY = 199; GT 0 = 186,488; HAS_PROPERTY = 186,758; total = 186,957. Suma 270+199+186,488 = 186,957 (cuadra).</t>
  </si>
  <si>
    <t>Plan PLAN-057; amount poblado con monto real (&gt;0); minoria con 0 o vacio aceptable</t>
  </si>
  <si>
    <t>CON-279</t>
  </si>
  <si>
    <t>4ª Auditoría Comunicaciones</t>
  </si>
  <si>
    <t>COM-001</t>
  </si>
  <si>
    <t>Hallazgo comunicaciones</t>
  </si>
  <si>
    <t>Inversionistas</t>
  </si>
  <si>
    <t>Inversionista nuevo sin comunicación: WF-065 a WF-069 ejecutan solo set_property; el cliente no recibe ningún mensaje en las 5 etapas.</t>
  </si>
  <si>
    <t>Sigue mal — verificado por API</t>
  </si>
  <si>
    <t>WF-065 a WF-069</t>
  </si>
  <si>
    <t>Auditoría: Abierto; verificado por API (solo 9/96 WF comunican al cliente)</t>
  </si>
  <si>
    <t>CON-280</t>
  </si>
  <si>
    <t>COM-002</t>
  </si>
  <si>
    <t>Cobranza</t>
  </si>
  <si>
    <t>Cobranza preventiva rota: WF-053 y WF-054 inscriben a secuencia sin sequenceId; el moroso no recibe recordatorio.</t>
  </si>
  <si>
    <t>WF-053, WF-054</t>
  </si>
  <si>
    <t>CON-281</t>
  </si>
  <si>
    <t>COM-003</t>
  </si>
  <si>
    <t>Servicio</t>
  </si>
  <si>
    <t>Ejecución de garantía sin aviso al cliente: WF-061, las tres comunicaciones son internas; ningún nodo notifica al cliente.</t>
  </si>
  <si>
    <t>CON-282</t>
  </si>
  <si>
    <t>COM-004</t>
  </si>
  <si>
    <t>Cierre por incumplimiento: WF-064 instruye «activar comunicación externa» pero el WF no contiene nodo de envío.</t>
  </si>
  <si>
    <t>CON-283</t>
  </si>
  <si>
    <t>COM-005</t>
  </si>
  <si>
    <t>Tokens HubL en texto plano: CONTACT.FIRSTNAME (WF-010) y {{enrolled_object...}} (WF-055) no renderizan.</t>
  </si>
  <si>
    <t>WF-010, WF-055</t>
  </si>
  <si>
    <t>CON-284</t>
  </si>
  <si>
    <t>COM-006</t>
  </si>
  <si>
    <t>Destinatarios externos a Monific: 3 nodos a David Ochoa (BNO), 2 a Caroline Bersot (BNO), 2 al equipo Legal compartido con ARI.</t>
  </si>
  <si>
    <t>Riesgo de fuga de datos / Ley Fintech</t>
  </si>
  <si>
    <t>Área</t>
  </si>
  <si>
    <t>Comunicación</t>
  </si>
  <si>
    <t>Canal</t>
  </si>
  <si>
    <t>Trigger</t>
  </si>
  <si>
    <t>Destinatario</t>
  </si>
  <si>
    <t>Responsable</t>
  </si>
  <si>
    <t>Responsable BNO</t>
  </si>
  <si>
    <t>Propiedad</t>
  </si>
  <si>
    <t>Tokens</t>
  </si>
  <si>
    <t>Estado objetivo</t>
  </si>
  <si>
    <t>Estado de implementación</t>
  </si>
  <si>
    <t>% avance</t>
  </si>
  <si>
    <t>Fecha objetivo</t>
  </si>
  <si>
    <t>Link al asset HubSpot</t>
  </si>
  <si>
    <t>Notas / Bloqueos</t>
  </si>
  <si>
    <t>SOL-001</t>
  </si>
  <si>
    <t>Solicitantes</t>
  </si>
  <si>
    <t>Confirmación de solicitud recibida</t>
  </si>
  <si>
    <t>Email</t>
  </si>
  <si>
    <t>Formulario / negocio nuevo</t>
  </si>
  <si>
    <t>Solicitante</t>
  </si>
  <si>
    <t>A.A.S.</t>
  </si>
  <si>
    <t>PB-SOL-NEW</t>
  </si>
  <si>
    <t>TK-BASE + TK-SOL</t>
  </si>
  <si>
    <t>Crear</t>
  </si>
  <si>
    <t>No iniciado</t>
  </si>
  <si>
    <t>0.0</t>
  </si>
  <si>
    <t>SOL-002</t>
  </si>
  <si>
    <t>Solicitud de documentación inicial</t>
  </si>
  <si>
    <t>Califica pre-revisión</t>
  </si>
  <si>
    <t>SOL-003</t>
  </si>
  <si>
    <t>Recordatorio documentación día 3</t>
  </si>
  <si>
    <t>3 días sin carga completa</t>
  </si>
  <si>
    <t>SOL-004</t>
  </si>
  <si>
    <t>Recordatorio documentación día 6</t>
  </si>
  <si>
    <t>6 días sin carga completa</t>
  </si>
  <si>
    <t>SOL-005</t>
  </si>
  <si>
    <t>No show o sin respuesta</t>
  </si>
  <si>
    <t>Cita vencida o 7 días sin respuesta</t>
  </si>
  <si>
    <t>SOL-006</t>
  </si>
  <si>
    <t>Dudas sobre requisitos</t>
  </si>
  <si>
    <t>Solicitante pide orientación</t>
  </si>
  <si>
    <t>SOL-007</t>
  </si>
  <si>
    <t>Pausa voluntaria</t>
  </si>
  <si>
    <t>Solicitante decide pausar</t>
  </si>
  <si>
    <t>SOL-008</t>
  </si>
  <si>
    <t>Carpeta Drive creada</t>
  </si>
  <si>
    <t>WhatsApp</t>
  </si>
  <si>
    <t>Carpeta de expediente creada</t>
  </si>
  <si>
    <t>SOL-009</t>
  </si>
  <si>
    <t>Expediente completo</t>
  </si>
  <si>
    <t>Validación documental completa</t>
  </si>
  <si>
    <t>SOL-010</t>
  </si>
  <si>
    <t>Expediente con observaciones</t>
  </si>
  <si>
    <t>Validación documental parcial</t>
  </si>
  <si>
    <t>SOL-011</t>
  </si>
  <si>
    <t>No viable documental</t>
  </si>
  <si>
    <t>Documentación no subsanable</t>
  </si>
  <si>
    <t>SOL-012</t>
  </si>
  <si>
    <t>Avance a evaluación financiera</t>
  </si>
  <si>
    <t>Pasa a análisis financiero</t>
  </si>
  <si>
    <t>SOL-013</t>
  </si>
  <si>
    <t>Solicitud de evaluación interna</t>
  </si>
  <si>
    <t>Notificación interna</t>
  </si>
  <si>
    <t>Entrada a evaluación</t>
  </si>
  <si>
    <t>Comercial / Finanzas / Legal</t>
  </si>
  <si>
    <t>A.A.S. / Comercial</t>
  </si>
  <si>
    <t>PB-SOL-EVAL / PB-SOL-FORMAL</t>
  </si>
  <si>
    <t>SOL-014</t>
  </si>
  <si>
    <t>Notificación a Dirección General</t>
  </si>
  <si>
    <t>Preaprobación / comité</t>
  </si>
  <si>
    <t>Dirección General</t>
  </si>
  <si>
    <t>SOL-015</t>
  </si>
  <si>
    <t>Aceptación preliminar</t>
  </si>
  <si>
    <t>Comité aprueba continuar</t>
  </si>
  <si>
    <t>SOL-016</t>
  </si>
  <si>
    <t>Rechazo inmediato</t>
  </si>
  <si>
    <t>No cumple criterio básico</t>
  </si>
  <si>
    <t>SOL-017</t>
  </si>
  <si>
    <t>Rechazo formal</t>
  </si>
  <si>
    <t>PDF + Email</t>
  </si>
  <si>
    <t>Comité rechaza</t>
  </si>
  <si>
    <t>A.A.S. / Legal</t>
  </si>
  <si>
    <t>SOL-018</t>
  </si>
  <si>
    <t>Inicio de formalización</t>
  </si>
  <si>
    <t>Aceptado para contrato</t>
  </si>
  <si>
    <t>SOL-019</t>
  </si>
  <si>
    <t>Formalización detenida</t>
  </si>
  <si>
    <t>Contrato no firmado / pendiente</t>
  </si>
  <si>
    <t>SOL-020</t>
  </si>
  <si>
    <t>Contrato firmado</t>
  </si>
  <si>
    <t>Cierre ganado</t>
  </si>
  <si>
    <t>SOL-021</t>
  </si>
  <si>
    <t>Cierre perdido por no firma</t>
  </si>
  <si>
    <t>Contrato no firmado</t>
  </si>
  <si>
    <t>SOL-022</t>
  </si>
  <si>
    <t>Escalamiento expediente sin Drive</t>
  </si>
  <si>
    <t>Tarea interna</t>
  </si>
  <si>
    <t>Falta carpeta o enlace</t>
  </si>
  <si>
    <t>Owner comercial</t>
  </si>
  <si>
    <t>INV-001</t>
  </si>
  <si>
    <t>WhatsApp de bienvenida comercial</t>
  </si>
  <si>
    <t>Registro / alta de inversionista</t>
  </si>
  <si>
    <t>Inversionista</t>
  </si>
  <si>
    <t>A.A.I.</t>
  </si>
  <si>
    <t>PB-INV-REG</t>
  </si>
  <si>
    <t>TK-BASE + TK-INV</t>
  </si>
  <si>
    <t>INV-002</t>
  </si>
  <si>
    <t>Tarea de primer contacto del asesor</t>
  </si>
  <si>
    <t>Tarea</t>
  </si>
  <si>
    <t>Alta de inversionista</t>
  </si>
  <si>
    <t>Asesor asignado</t>
  </si>
  <si>
    <t>INV-003</t>
  </si>
  <si>
    <t>Recordatorio de fondeo 24h</t>
  </si>
  <si>
    <t>Registro sin depósito 24h</t>
  </si>
  <si>
    <t>PB-INV-STP</t>
  </si>
  <si>
    <t>INV-004</t>
  </si>
  <si>
    <t>Seguimiento de fondeo 72h</t>
  </si>
  <si>
    <t>Registro sin depósito 72h</t>
  </si>
  <si>
    <t>INV-005</t>
  </si>
  <si>
    <t>Asignación de asesor</t>
  </si>
  <si>
    <t>Nuevo inversionista calificado</t>
  </si>
  <si>
    <t>Dirección Comercial</t>
  </si>
  <si>
    <t>INV-006</t>
  </si>
  <si>
    <t>Saldo disponible para invertir</t>
  </si>
  <si>
    <t>Fondeo aplicado</t>
  </si>
  <si>
    <t>INV-007</t>
  </si>
  <si>
    <t>Primera inversión detectada / siguiente paso</t>
  </si>
  <si>
    <t>Email + PDF</t>
  </si>
  <si>
    <t>Inversión confirmada</t>
  </si>
  <si>
    <t>PB-INV-ACTIVE</t>
  </si>
  <si>
    <t>INV-008</t>
  </si>
  <si>
    <t>Saldo disponible por rendimiento o pago aplicado</t>
  </si>
  <si>
    <t>Asesor / Operaciones</t>
  </si>
  <si>
    <t>INV-009</t>
  </si>
  <si>
    <t>Reactivación 30 días</t>
  </si>
  <si>
    <t>Pago/rendimiento aplicado</t>
  </si>
  <si>
    <t>INV-010</t>
  </si>
  <si>
    <t>Reactivación 90 días</t>
  </si>
  <si>
    <t>Solicitud de retiro recibida</t>
  </si>
  <si>
    <t>INV-011</t>
  </si>
  <si>
    <t>Reactivación 180 días / preferencias</t>
  </si>
  <si>
    <t>30 días sin invertir</t>
  </si>
  <si>
    <t>INV-012</t>
  </si>
  <si>
    <t>Reactivación 360 días / recuperación de cuenta</t>
  </si>
  <si>
    <t>90 días sin invertir</t>
  </si>
  <si>
    <t>INV-013</t>
  </si>
  <si>
    <t>Reinversión post-campaña concluida</t>
  </si>
  <si>
    <t>180 días sin invertir</t>
  </si>
  <si>
    <t>INV-014</t>
  </si>
  <si>
    <t>Retención por cierre de cuenta</t>
  </si>
  <si>
    <t>360 días sin invertir</t>
  </si>
  <si>
    <t>PB-INV-CLOSE</t>
  </si>
  <si>
    <t>INV-015</t>
  </si>
  <si>
    <t>Acompañamiento posterior a recuperación</t>
  </si>
  <si>
    <t>Proyecto liquidado</t>
  </si>
  <si>
    <t>ATC-001</t>
  </si>
  <si>
    <t>ATC</t>
  </si>
  <si>
    <t>Acuse de ticket</t>
  </si>
  <si>
    <t>Ticket creado</t>
  </si>
  <si>
    <t>Cliente</t>
  </si>
  <si>
    <t>E.A.C.</t>
  </si>
  <si>
    <t>PB-ATC</t>
  </si>
  <si>
    <t>TK-BASE + TK-ATC</t>
  </si>
  <si>
    <t>Corregir</t>
  </si>
  <si>
    <t>ATC-002</t>
  </si>
  <si>
    <t>Asignación de agente</t>
  </si>
  <si>
    <t>Ticket creado/asignado</t>
  </si>
  <si>
    <t>Agente ATC</t>
  </si>
  <si>
    <t>HubSpot / E.A.C.</t>
  </si>
  <si>
    <t>ATC-003</t>
  </si>
  <si>
    <t>SLA 5 minutos vencido</t>
  </si>
  <si>
    <t>Ticket sin primera respuesta</t>
  </si>
  <si>
    <t>ATC / Dirección</t>
  </si>
  <si>
    <t>E.A.C. / D.C. / T.I.</t>
  </si>
  <si>
    <t>ATC-004</t>
  </si>
  <si>
    <t>Escalamiento a TI al cliente</t>
  </si>
  <si>
    <t>Caso requiere TI</t>
  </si>
  <si>
    <t>ATC-005</t>
  </si>
  <si>
    <t>Escalamiento TI interno</t>
  </si>
  <si>
    <t>Ticket requiere TI</t>
  </si>
  <si>
    <t>TI</t>
  </si>
  <si>
    <t>ATC-006</t>
  </si>
  <si>
    <t>Recordatorio TI 48h</t>
  </si>
  <si>
    <t>Ticket TI próximo a vencer</t>
  </si>
  <si>
    <t>TI / Dirección</t>
  </si>
  <si>
    <t>ATC-007</t>
  </si>
  <si>
    <t>Cierre de ticket</t>
  </si>
  <si>
    <t>Ticket resuelto/cerrado</t>
  </si>
  <si>
    <t>COB-001</t>
  </si>
  <si>
    <t>Nueva campaña a cobranza</t>
  </si>
  <si>
    <t>Campaña entra a cobranza activa</t>
  </si>
  <si>
    <t>Ejecutivo de Cobranza</t>
  </si>
  <si>
    <t>Cobranza / D.F. / D.C.L.</t>
  </si>
  <si>
    <t>PB-COB-ACTIVE</t>
  </si>
  <si>
    <t>TK-BASE + TK-COB</t>
  </si>
  <si>
    <t>COB-002</t>
  </si>
  <si>
    <t>Calendario de pagos al solicitante</t>
  </si>
  <si>
    <t>Campaña activa / formalizada</t>
  </si>
  <si>
    <t>Cobranza / D.F.</t>
  </si>
  <si>
    <t>COB-003</t>
  </si>
  <si>
    <t>Solicitud reporte RV</t>
  </si>
  <si>
    <t>Proyecto RV previo a cuota</t>
  </si>
  <si>
    <t>COB-004</t>
  </si>
  <si>
    <t>Recordatorio T-10</t>
  </si>
  <si>
    <t>10 días antes de vencimiento</t>
  </si>
  <si>
    <t>COB-005</t>
  </si>
  <si>
    <t>Recordatorio T-7</t>
  </si>
  <si>
    <t>7 días antes de vencimiento</t>
  </si>
  <si>
    <t>COB-006</t>
  </si>
  <si>
    <t>Recordatorio T-5</t>
  </si>
  <si>
    <t>5 días antes de vencimiento</t>
  </si>
  <si>
    <t>COB-007</t>
  </si>
  <si>
    <t>WhatsApp T-5</t>
  </si>
  <si>
    <t>COB-008</t>
  </si>
  <si>
    <t>WhatsApp T-2</t>
  </si>
  <si>
    <t>2 días antes de vencimiento</t>
  </si>
  <si>
    <t>COB-009</t>
  </si>
  <si>
    <t>WhatsApp D0</t>
  </si>
  <si>
    <t>Día de vencimiento</t>
  </si>
  <si>
    <t>COB-010</t>
  </si>
  <si>
    <t>Confirmación de pago</t>
  </si>
  <si>
    <t>Pago aplicado</t>
  </si>
  <si>
    <t>COB-011</t>
  </si>
  <si>
    <t>Incumplimiento día 1</t>
  </si>
  <si>
    <t>Pago no recibido al día siguiente</t>
  </si>
  <si>
    <t>COB-012</t>
  </si>
  <si>
    <t>Escalamiento finanzas día 16</t>
  </si>
  <si>
    <t>Mora moderada</t>
  </si>
  <si>
    <t>Finanzas / Dirección</t>
  </si>
  <si>
    <t>COB-013</t>
  </si>
  <si>
    <t>Mora temprana WhatsApp</t>
  </si>
  <si>
    <t>Días 1-15 de mora</t>
  </si>
  <si>
    <t>COB-014</t>
  </si>
  <si>
    <t>Mora moderada WhatsApp</t>
  </si>
  <si>
    <t>Días 16-30 de mora</t>
  </si>
  <si>
    <t>COB-015</t>
  </si>
  <si>
    <t>Mora grave email</t>
  </si>
  <si>
    <t>Días 31-60 de mora</t>
  </si>
  <si>
    <t>COB-016</t>
  </si>
  <si>
    <t>Mora grave WhatsApp</t>
  </si>
  <si>
    <t>COB-017</t>
  </si>
  <si>
    <t>Aviso a inversionistas por retraso</t>
  </si>
  <si>
    <t>Retraso con garantía líquida</t>
  </si>
  <si>
    <t>Inversionistas campaña</t>
  </si>
  <si>
    <t>COB-018</t>
  </si>
  <si>
    <t>Aviso a inversionistas por cobranza con garantía</t>
  </si>
  <si>
    <t>Mora grave / garantía</t>
  </si>
  <si>
    <t>COB-019</t>
  </si>
  <si>
    <t>Solicitud de refinanciamiento recibida</t>
  </si>
  <si>
    <t>Solicitante pide refinanciamiento</t>
  </si>
  <si>
    <t>PB-COB-REFI</t>
  </si>
  <si>
    <t>COB-020</t>
  </si>
  <si>
    <t>Refinanciamiento aprobado</t>
  </si>
  <si>
    <t>Email + WhatsApp</t>
  </si>
  <si>
    <t>Reestructura aprobada</t>
  </si>
  <si>
    <t>COB-021</t>
  </si>
  <si>
    <t>Refinanciamiento rechazado</t>
  </si>
  <si>
    <t>Reestructura rechazada</t>
  </si>
  <si>
    <t>COB-022</t>
  </si>
  <si>
    <t>Ejecución de garantía al solicitante</t>
  </si>
  <si>
    <t>Procede garantía</t>
  </si>
  <si>
    <t>PB-COB-GARANTIA</t>
  </si>
  <si>
    <t>COB-023</t>
  </si>
  <si>
    <t>Ejecución de garantía interna</t>
  </si>
  <si>
    <t>Garantía aplicable</t>
  </si>
  <si>
    <t>Legal / Finanzas / Dirección</t>
  </si>
  <si>
    <t>COB-024</t>
  </si>
  <si>
    <t>Inicio jurídico</t>
  </si>
  <si>
    <t>Mora grave sin regularización</t>
  </si>
  <si>
    <t>Legal / Cumplimiento</t>
  </si>
  <si>
    <t>COB-025</t>
  </si>
  <si>
    <t>Distribución posterior a garantía</t>
  </si>
  <si>
    <t>Recuperación aplicada</t>
  </si>
  <si>
    <t>COB-026</t>
  </si>
  <si>
    <t>Campaña liquidada al solicitante</t>
  </si>
  <si>
    <t>Campaña pagada/liquidada</t>
  </si>
  <si>
    <t>PB-COB-CLOSE</t>
  </si>
  <si>
    <t>COB-027</t>
  </si>
  <si>
    <t>Cierre por incumplimiento</t>
  </si>
  <si>
    <t>Caso cerrado por incumplimiento</t>
  </si>
  <si>
    <t>Dirección / Cumplimiento / Finanzas</t>
  </si>
  <si>
    <t>COB-028</t>
  </si>
  <si>
    <t>Recordatorio inversionistas mora</t>
  </si>
  <si>
    <t>Mora sin recuperación inmediata</t>
  </si>
  <si>
    <t>COB-029</t>
  </si>
  <si>
    <t>Cierre administrativo de cobranza</t>
  </si>
  <si>
    <t>Cierre operativo</t>
  </si>
  <si>
    <t>COB-030</t>
  </si>
  <si>
    <t>ARI día 15 - preparación tabla de adeudos</t>
  </si>
  <si>
    <t>Notificación interna + Email interno</t>
  </si>
  <si>
    <t>Día 15 previo a mora temprana</t>
  </si>
  <si>
    <t>Despacho ARI / Cobranza Monific</t>
  </si>
  <si>
    <t>Despacho ARI / Cobranza</t>
  </si>
  <si>
    <t>COB-031</t>
  </si>
  <si>
    <t>ARI día 16+ - inicio cobranza amistosa</t>
  </si>
  <si>
    <t>Notificación interna + copia</t>
  </si>
  <si>
    <t>Día 16 / mora temprana</t>
  </si>
  <si>
    <t>Despacho ARI / D.F. / Cobranza</t>
  </si>
  <si>
    <t>COB-032</t>
  </si>
  <si>
    <t>ARI día 30+ - cobranza formal</t>
  </si>
  <si>
    <t>Notificación interna + tarea</t>
  </si>
  <si>
    <t>Día 30 a 60 / mora moderada o grave</t>
  </si>
  <si>
    <t>Despacho ARI / D.F. / Legal</t>
  </si>
  <si>
    <t>COB-033</t>
  </si>
  <si>
    <t>ARI día 61+ - prejudicial/judicial y ejecución de garantía</t>
  </si>
  <si>
    <t>Notificación interna + asignación</t>
  </si>
  <si>
    <t>Día 61+ / ejecución de garantía</t>
  </si>
  <si>
    <t>Despacho ARI / Legal / Cumplimiento / Dirección</t>
  </si>
  <si>
    <t>PDF-001</t>
  </si>
  <si>
    <t>PDF institucional</t>
  </si>
  <si>
    <t>Carta de aceptación</t>
  </si>
  <si>
    <t>PDF</t>
  </si>
  <si>
    <t>Proyecto aceptado</t>
  </si>
  <si>
    <t>Legal / Owner de pipeline</t>
  </si>
  <si>
    <t>TK-BASE + TK-SOL + TK-PDF</t>
  </si>
  <si>
    <t>PDF-002</t>
  </si>
  <si>
    <t>Carta de observaciones</t>
  </si>
  <si>
    <t>Expediente observado</t>
  </si>
  <si>
    <t>PDF-003</t>
  </si>
  <si>
    <t>Cartas de rechazo</t>
  </si>
  <si>
    <t>Proyecto rechazado</t>
  </si>
  <si>
    <t>PDF-004</t>
  </si>
  <si>
    <t>Carta de refinanciamiento</t>
  </si>
  <si>
    <t>TK-BASE + TK-COB + TK-PDF</t>
  </si>
  <si>
    <t>NOTA: el TEXTO/COPY de cada comunicación (asunto + cuerpo + tokens) está en el documento «Matriz completa de comunicación» — Parte II (Biblioteca de plantillas y textos). Esta hoja lleva el control de implementación; el contenido para pegar vive en ese anexo.</t>
  </si>
  <si>
    <t>#</t>
  </si>
  <si>
    <t>Workflow (nombre real en HubSpot)</t>
  </si>
  <si>
    <t>Estado</t>
  </si>
  <si>
    <t>Creado</t>
  </si>
  <si>
    <t>Últ. modificación</t>
  </si>
  <si>
    <t>WF | Form: Inversionista</t>
  </si>
  <si>
    <t>OFF</t>
  </si>
  <si>
    <t>Sigue mal (apagado)</t>
  </si>
  <si>
    <t>2025-03-14</t>
  </si>
  <si>
    <t>2025-07-02</t>
  </si>
  <si>
    <t>WF | Notificaciones de cobro</t>
  </si>
  <si>
    <t>2025-03-24</t>
  </si>
  <si>
    <t>2025-04-28</t>
  </si>
  <si>
    <t>El pipeline es "Solicitud de financiamiento", la etapa es "Publicación"</t>
  </si>
  <si>
    <t>2025-04-07</t>
  </si>
  <si>
    <t>2025-07-25</t>
  </si>
  <si>
    <t>Seguimiento de encuesta personalizada 4 - Detractor</t>
  </si>
  <si>
    <t>2025-04-21</t>
  </si>
  <si>
    <t>El pipeline es "inversión", la etapa es "Depósito"</t>
  </si>
  <si>
    <t xml:space="preserve">Asignación de propietario | Contactos sin </t>
  </si>
  <si>
    <t>2025-05-21</t>
  </si>
  <si>
    <t>2025-08-12</t>
  </si>
  <si>
    <t>Campañas Meta | Asignación</t>
  </si>
  <si>
    <t>2025-06-03</t>
  </si>
  <si>
    <t>Creación de lead | Inversionistas</t>
  </si>
  <si>
    <t>2025-06-18</t>
  </si>
  <si>
    <t>El pipeline es "Inversionistas", la etapa es "Inversión activa"</t>
  </si>
  <si>
    <t>WF | Notificaciones de cobro ACTUALIZADO</t>
  </si>
  <si>
    <t>2025-07-22</t>
  </si>
  <si>
    <t>Recordatorio pago de préstamo general |  SOLICITUDES</t>
  </si>
  <si>
    <t>2025-06-25</t>
  </si>
  <si>
    <t>MODELO Notificaciones de cobro | Tickets</t>
  </si>
  <si>
    <t>2025-06-30</t>
  </si>
  <si>
    <t>2025-07-03</t>
  </si>
  <si>
    <t>Generar tickets de cobro</t>
  </si>
  <si>
    <t>2025-07-09</t>
  </si>
  <si>
    <t>2025-08-06</t>
  </si>
  <si>
    <t>El pipeline es "Solicitud de financiamiento", la etapa es "Fondeado"</t>
  </si>
  <si>
    <t>2025-07-24</t>
  </si>
  <si>
    <t>03. Negocios | 01. Solicitantes | Etapa 01: Nuevo | Nº 04 | Enviar secuencia desde contacto + 15 días | V1</t>
  </si>
  <si>
    <t>2026-04-20</t>
  </si>
  <si>
    <t>2026-04-22</t>
  </si>
  <si>
    <t>03. Negocios | 01. Solicitantes | Etapa 02: Evaluación | Nº 07 | Crear tarea de la carta de rechazo | V1</t>
  </si>
  <si>
    <t>03. Negocios | 01. Solicitantes | Etapa 02: Evaluación | Nº 03 | Correo interno a involucrados y actualizar campos | V1</t>
  </si>
  <si>
    <t>2026-05-04</t>
  </si>
  <si>
    <t>03. Negocios | 01. Solicitantes | Etapa 04: Proceso de firma | Nº 03 | Enviar secuencia | V1</t>
  </si>
  <si>
    <t>2026-04-21</t>
  </si>
  <si>
    <t>03. Negocios | 02. Inversionistas | Etapa 01: Perfil | Nº 03 | Actualizar propiedades de negocio | V1</t>
  </si>
  <si>
    <t>03. Negocios | 02. Inversionistas | Etapa 03: Congelado | Nº 01 | Cambio de etapa a activo | V1</t>
  </si>
  <si>
    <t>03. Negocios | 02. Inversionistas | Etapa 03: Congelado | Nº 02 | Definir campos de entrada | V1</t>
  </si>
  <si>
    <t>03. Negocios | 02. Inversionistas | Etapa 04: Cierre | Nº 02 | Notificaciones a cliente | V1</t>
  </si>
  <si>
    <t>03. Negocios | 02. Inversionistas | Etapa 01: Perfil | Nº 01 | Cambio de etapa a activo | V1</t>
  </si>
  <si>
    <t>03. Negocios | 02. Inversionistas | Etapa 01: Perfil | Nº 02 | Cambio de etapa a congelado | V1</t>
  </si>
  <si>
    <t>03. Negocios | 02. Inversionistas | Etapa 02: Activo | Nº 04 | Realizar envio de secuencia | V1</t>
  </si>
  <si>
    <t>03. Negocios | 02. Inversionistas | Etapa 02: Activo | Nº 01 | Cambio de etapa a cierre | V1</t>
  </si>
  <si>
    <t>03. Negocios | 02. Inversionistas | Etapa 02: Activo | Nº 05 | Actualizar datos de entrada en etapa | V1</t>
  </si>
  <si>
    <t>03. Negocios | 02. Inversionistas | Etapa 03: Congelado | Nº 03 | Notificaciones de reactivación | V1</t>
  </si>
  <si>
    <t>03. Negocios | 02. Inversionistas | Etapa 02: Activo | Nº 02 | Cambio de etapa a congelado | V1</t>
  </si>
  <si>
    <t>03. Negocios | 02. Inversionistas | Etapa 04: Cierre | Nº 01 | Notificaciones internas | V1</t>
  </si>
  <si>
    <t>03. Negocios | 02. Inversionistas | Etapa 02: Activo | Nº 03 | Definir propiedades de inversión | V1</t>
  </si>
  <si>
    <t>03. Negocios | 02. Inversionistas | Etapa 01: Perfil | Nº 04 | Notificar a cliente | V1</t>
  </si>
  <si>
    <t>03. Negocios | 01. Solicitantes | Etapa 01: Nuevo | Nº 07 | Enviar secuencia desde contacto + 2 días | V1</t>
  </si>
  <si>
    <t>04. Tickets | 01. Cobranza | Etapa 02: cobranza activa | Nº 01 | Recordatorios activos | V1</t>
  </si>
  <si>
    <t>2026-05-13</t>
  </si>
  <si>
    <t>04. Tickets | 01. Cobranza | Etapa 02: cobranza activa | Nº 02 | Recordatorios antes del 15 mes | V1</t>
  </si>
  <si>
    <t>04. Tickets | 02. Atención | Etapa 02: En atención | Nº 01 | Tarea Tipo C | V1</t>
  </si>
  <si>
    <t>2026-05-15</t>
  </si>
  <si>
    <t>04. Tickets | 03. UNE | Etapa 01: Abierto | Nº 01 | Propiedades de entrada | V1</t>
  </si>
  <si>
    <t>Temporal - Homologación de datos</t>
  </si>
  <si>
    <t>2026-06-03</t>
  </si>
  <si>
    <t>03. Negocios | 01. Solicitantes | Etapa 01: Nuevo | Nº 08 | Enviar secuencia Post formulario | V1</t>
  </si>
  <si>
    <t>WF | Form: Solicitud de financiamiento</t>
  </si>
  <si>
    <t>ON</t>
  </si>
  <si>
    <t>Validado (activo)</t>
  </si>
  <si>
    <t>2025-06-06</t>
  </si>
  <si>
    <t>WF | Creación de negocio Inversionistas</t>
  </si>
  <si>
    <t>2025-07-08</t>
  </si>
  <si>
    <t>Seguimiento de encuesta personalizada 5 - Detractor</t>
  </si>
  <si>
    <t>El pipeline es "Solicitud de financiamiento", la etapa es "Revisión de documentación"</t>
  </si>
  <si>
    <t>Limpieza | Actualización de estado del contacto de marketing</t>
  </si>
  <si>
    <t>2025-06-10</t>
  </si>
  <si>
    <t>ASIGNACIÓN DE CONTACTOS 1 a 1</t>
  </si>
  <si>
    <t>2025-09-30</t>
  </si>
  <si>
    <t>WF LISTA MARKETING PARA CONTROL</t>
  </si>
  <si>
    <t>2025-10-24</t>
  </si>
  <si>
    <t>Conexión callpicker - Hubspot</t>
  </si>
  <si>
    <t>2026-02-16</t>
  </si>
  <si>
    <t>WF-L3 | Primera inversión · 14 días</t>
  </si>
  <si>
    <t>2026-03-10</t>
  </si>
  <si>
    <t>03. Negocios | 01. Solicitantes | Etapa 02: Evaluación | Nº 01 | Cambio de etapa a Formalización | V1</t>
  </si>
  <si>
    <t>03. Negocios | 01. Solicitantes | Etapa 02: Evaluación | Nº 02 | Cambio de etapa a perdido | V1</t>
  </si>
  <si>
    <t>03. Negocios | 01. Solicitantes | Etapa 02: Evaluación | Nº 04 | Correo interno a DG | V1</t>
  </si>
  <si>
    <t>03. Negocios | 01. Solicitantes | Etapa 01: Nuevo | Nº 05 | Enviar a solicitante requerimiento de su documentación | V1</t>
  </si>
  <si>
    <t>03. Negocios | 01. Solicitantes | Etapa 02: Evaluación | Nº 06 | Crear tarea de la carta de aceptación | V1</t>
  </si>
  <si>
    <t>03. Negocios | 01. Solicitantes | Etapa 02: Evaluación | Nº 05 | fijar la propiedad "Fecha de decisión del comité" | V1</t>
  </si>
  <si>
    <t>03. Negocios | 01. Solicitantes | Etapa 01: Nuevo | Nº 02 | Tarea de creación de drive | V1</t>
  </si>
  <si>
    <t>03. Negocios | 01. Solicitantes | Etapa 01: Nuevo | Nº 01 | Cambio de etapa a Evaluación | V1</t>
  </si>
  <si>
    <t>03. Negocios | 01. Solicitantes | Etapa 01: Nuevo | Nº 03 | Actualizar estatus y enviar secuencia | V1</t>
  </si>
  <si>
    <t>03. Negocios | 01. Solicitantes | Etapa 01: Nuevo | Nº 06 | Tareas internas para asesor | V1</t>
  </si>
  <si>
    <t>03. Negocios | 01. Solicitantes | Etapa 03: Formalización | Nº 01 | Cambio de etapa a proceso de firma | V1</t>
  </si>
  <si>
    <t>2026-06-08</t>
  </si>
  <si>
    <t>03. Negocios | 01. Solicitantes | Etapa 03: Formalización | Nº 02 | Notificación interna a involucrados | V1</t>
  </si>
  <si>
    <t>03. Negocios | 01. Solicitantes | Etapa 03: Formalización | Nº 03 | Notificación interna a superior estancado | V1</t>
  </si>
  <si>
    <t>03. Negocios | 01. Solicitantes | Etapa 04: Proceso de firma | Nº 01 | Cambio de etapa a ganado | V1</t>
  </si>
  <si>
    <t>03. Negocios | 01. Solicitantes | Etapa 06: Perdido | Nº 01 | Establecer propiedades de perdido | V1</t>
  </si>
  <si>
    <t>03. Negocios | 01. Solicitantes | Etapa 04: Proceso de firma | Nº 04 | Notificaciones a asesor asignado | V1</t>
  </si>
  <si>
    <t>03. Negocios | 01. Solicitantes | Etapa 05: Ganado | Nº 01 | Establecer fecha de cierre | V1</t>
  </si>
  <si>
    <t>03. Negocios | 02. Inversionistas | Etapa 01: Perfil | Nº 05 | Notificar a asesor en la asignación | V1</t>
  </si>
  <si>
    <t>03. Negocios | 01. Solicitantes | Etapa 04: Proceso de firma | Nº 05 | Enviar a perdido | V1</t>
  </si>
  <si>
    <t>03. Negocios | 01. Solicitantes | Etapa 04: Proceso de firma | Nº 02 | Editar campo para secuencia | V1</t>
  </si>
  <si>
    <t>03. Negocios | 02. Inversionistas | Etapa 01: Perfil | Nº 06 | Notificar a asesor de negocio estancado | V1</t>
  </si>
  <si>
    <t>04. Tickets | 01. Cobranza | Etapa 01: Nuevo Registro | Nº 01 | Asignar propietario de cobranza | V1</t>
  </si>
  <si>
    <t>2026-05-12</t>
  </si>
  <si>
    <t>04. Tickets | 01. Cobranza | Etapa 01: Nuevo Registro | Nº 02 | Enviar tarea de campaña RV | V1</t>
  </si>
  <si>
    <t>04. Tickets | 01. Cobranza | Etapa 01: Nuevo Registro | Nº 03 | Cambio de etapa a cobranza activa | V1</t>
  </si>
  <si>
    <t>04. Tickets | 01. Cobranza | Etapa 02: cobranza activa | Nº 03 | Recordatorios y tareas por vencimiento 15 | V1</t>
  </si>
  <si>
    <t>04. Tickets | 01. Cobranza | Etapa 05: Cierre por refinanciamiento | Nº 01 | propiedades de entrada | V1</t>
  </si>
  <si>
    <t>04. Tickets | 01. Cobranza | Etapa 02: cobranza activa | Nº 04 | Cambio de etapa a liquidado | V1</t>
  </si>
  <si>
    <t>04. Tickets | 01. Cobranza | Etapa 03: refinanciamiento | Nº 01 |Notificaciones | V1</t>
  </si>
  <si>
    <t>04. Tickets | 01. Cobranza | Etapa 04: Ejecución de garantia | Nº 01 | Propiedades y Notificaciones | V1</t>
  </si>
  <si>
    <t>04. Tickets | 01. Cobranza | Etapa 03: refinanciamiento | Nº 02 | Mover a cierre por refinanciamiento | V1</t>
  </si>
  <si>
    <t>04. Tickets | 01. Cobranza | Etapa 03: refinanciamiento | Nº 01 | propiedades de entrada | V1</t>
  </si>
  <si>
    <t>04. Tickets | 01. Cobranza | Etapa 02: cobranza activa | Nº 05 | Cambio de etapa a ejecución | V1</t>
  </si>
  <si>
    <t>04. Tickets | 01. Cobranza | Etapa 07: Cierre por Incumplimiento | Nº 01 | Propiedades de entrada | V1</t>
  </si>
  <si>
    <t>04. Tickets | 01. Cobranza | Etapa 06: Campaña  Liquidada | Nº 01 | propiedades de entrada | V1</t>
  </si>
  <si>
    <t>04. Tickets | 02. Atención | Etapa 02: En atención | Nº 02 | Escalar a TI | V1</t>
  </si>
  <si>
    <t>04. Tickets | 02. Atención | Etapa 04: Cerrado | Nº 01 | Propiedades de entrada | V1</t>
  </si>
  <si>
    <t>04. Tickets | 02. Atención | Etapa 03: Escalado TI | Nº 01 | Propiedades de entrada | V1</t>
  </si>
  <si>
    <t>04. Tickets | 02. Atención | Etapa 03: Escalado TI | Nº 02 | Vencmiento 48 horas | V1</t>
  </si>
  <si>
    <t>04. Tickets | 02. Atención | Etapa 01: Nuevo Ticket | Nº 01 | Asignar propietario de ticket | V1</t>
  </si>
  <si>
    <t>04. Tickets | 02. Atención | Etapa 01: Nuevo Ticket | Nº 03 | Mover ticket a atención | V1</t>
  </si>
  <si>
    <t>04. Tickets | 02. Atención | Etapa 01: Nuevo Ticket | Nº 02 | Notificación por SLA vencido | V1</t>
  </si>
  <si>
    <t>04. Tickets | 02. Atención | Etapa 01: Nuevo Ticket | Nº 04 | Definir primera respuesta | V1</t>
  </si>
  <si>
    <t>03. Negocios | 02. Inversionistas | Etapa 04: Cierre | Nº 01 | Etapa 1: Lead Creado  | V1</t>
  </si>
  <si>
    <t>03. Negocios | 02. Inversionistas | Etapa 04: Cierre | Nº 02 | Etapa 2: Registro Completo | V1</t>
  </si>
  <si>
    <t>03. Negocios | 02. Inversionistas | Etapa 04: Cierre | Nº 03 | Etapa 3: Identidad Validada | V1</t>
  </si>
  <si>
    <t>03. Negocios | 02. Inversionistas | Etapa 04: Cierre | Nº 04 | Etapa 4: Billetera con Fondos | V1</t>
  </si>
  <si>
    <t>03. Negocios | 02. Inversionistas | Etapa 04: Cierre | Nº 05 | Fecha de primera inversión | V1</t>
  </si>
  <si>
    <t>01. Contactos | 01. Datos | Nº 01 | Crear negocio de solicitante o inversionistas | V1</t>
  </si>
  <si>
    <t>2026-06-05</t>
  </si>
  <si>
    <t>Nota: «Validado (activo)» = el workflow está ENCENDIDO al 17-jun-2026; NO certifica que la lógica interna (nodos, correos, tokens) sea correcta — eso se valida abriendo el flow. «Sigue mal (apagado)» = desactivado. Ajusta cada fila con el menú si revisas la lógica.</t>
  </si>
  <si>
    <t>Workflow</t>
  </si>
  <si>
    <t>Nodos</t>
  </si>
  <si>
    <t>¿Envía correo?</t>
  </si>
  <si>
    <t>Solo set_property (no comunica)</t>
  </si>
  <si>
    <t>¿Secuencia?</t>
  </si>
  <si>
    <t>Token texto plano</t>
  </si>
  <si>
    <t>¿Notifica a BNO (Ochoa)?</t>
  </si>
  <si>
    <t>True</t>
  </si>
  <si>
    <t>False</t>
  </si>
  <si>
    <t>Resumen: de 96 workflows, 9 envían correo y 85 solo hacen set_property sin comunicar. 26 nodos inscriben a secuencia SIN sequenceId. 701 nodos con token en texto plano. 21 nodos de notificación interna, 3 a David Ochoa (BNO).</t>
  </si>
  <si>
    <t>Nodos de notificación interna a David Ochoa (BNO) — actionTypeId 0-8:</t>
  </si>
  <si>
    <t>• 03. Negocios | 01. Solicitantes | Etapa 02: Evaluación | Nº 04 | Correo interno a DG | V1</t>
  </si>
  <si>
    <t>→ asunto:</t>
  </si>
  <si>
    <t>Nuevo solicitante enviado a evaluación</t>
  </si>
  <si>
    <t>• 03. Negocios | 01. Solicitantes | Etapa 03: Formalización | Nº 03 | Notificación interna a superior estancado | V1</t>
  </si>
  <si>
    <t>Escalamiento por apoyo en formalización</t>
  </si>
  <si>
    <t>• 03. Negocios | 01. Solicitantes | Etapa 04: Proceso de firma | Nº 01 | Cambio de etapa a ganado | V1</t>
  </si>
  <si>
    <t>Solicitud de publicación de campaña en Monific</t>
  </si>
  <si>
    <t>Etiqueta</t>
  </si>
  <si>
    <t>Nombre interno sugerido</t>
  </si>
  <si>
    <t>Objeto</t>
  </si>
  <si>
    <t>Prioridad</t>
  </si>
  <si>
    <t>Resultado (API 17-jun)</t>
  </si>
  <si>
    <t>Detalle</t>
  </si>
  <si>
    <t>1</t>
  </si>
  <si>
    <t>NEW-PROP-001</t>
  </si>
  <si>
    <t>Comercial</t>
  </si>
  <si>
    <t>Tipo de cliente</t>
  </si>
  <si>
    <t>tipo_de_cliente</t>
  </si>
  <si>
    <t>Deal</t>
  </si>
  <si>
    <t>EXISTE</t>
  </si>
  <si>
    <t>creada 2025-03-17 (userId 11260213)</t>
  </si>
  <si>
    <t>2</t>
  </si>
  <si>
    <t>NEW-PROP-002</t>
  </si>
  <si>
    <t>Canal de entrada</t>
  </si>
  <si>
    <t>canal_de_entrada</t>
  </si>
  <si>
    <t>Contact</t>
  </si>
  <si>
    <t>EXISTE (por etiqueta)</t>
  </si>
  <si>
    <t>coincide por etiqueta, nombre interno distinto</t>
  </si>
  <si>
    <t>3</t>
  </si>
  <si>
    <t>NEW-PROP-003</t>
  </si>
  <si>
    <t>Fuente de Lead</t>
  </si>
  <si>
    <t>fuente_de_lead</t>
  </si>
  <si>
    <t>4</t>
  </si>
  <si>
    <t>NEW-PROP-004</t>
  </si>
  <si>
    <t>Nombre de Broker</t>
  </si>
  <si>
    <t>nombre_de_broker</t>
  </si>
  <si>
    <t>5</t>
  </si>
  <si>
    <t>NEW-PROP-005</t>
  </si>
  <si>
    <t>Fecha y hora de atención del ticket</t>
  </si>
  <si>
    <t>fecha_y_hora_de_atencion_del_ticket</t>
  </si>
  <si>
    <t>Ticket</t>
  </si>
  <si>
    <t>NO EXISTE</t>
  </si>
  <si>
    <t>no encontrada por nombre ni etiqueta al 17-jun-2026</t>
  </si>
  <si>
    <t>6</t>
  </si>
  <si>
    <t>NEW-PROP-006</t>
  </si>
  <si>
    <t>ID Campaña</t>
  </si>
  <si>
    <t>id_campana</t>
  </si>
  <si>
    <t>Custom Object (Cobranza) — confirmar con BNO</t>
  </si>
  <si>
    <t>7</t>
  </si>
  <si>
    <t>NEW-PROP-007</t>
  </si>
  <si>
    <t>Propietario de campaña</t>
  </si>
  <si>
    <t>propietario_de_campana</t>
  </si>
  <si>
    <t>8</t>
  </si>
  <si>
    <t>NEW-PROP-008</t>
  </si>
  <si>
    <t>Link de expediente en Drive</t>
  </si>
  <si>
    <t>link_de_expediente_en_drive</t>
  </si>
  <si>
    <t>9</t>
  </si>
  <si>
    <t>NEW-PROP-009</t>
  </si>
  <si>
    <t>Condiciones especiales del proyecto</t>
  </si>
  <si>
    <t>condiciones_especiales_del_proyecto</t>
  </si>
  <si>
    <t>10</t>
  </si>
  <si>
    <t>NEW-PROP-010</t>
  </si>
  <si>
    <t>Nota de acuerdo de pago</t>
  </si>
  <si>
    <t>nota_de_acuerdo_de_pago</t>
  </si>
  <si>
    <t>11</t>
  </si>
  <si>
    <t>NEW-PROP-011</t>
  </si>
  <si>
    <t>Número de intentos de contacto</t>
  </si>
  <si>
    <t>numero_de_intentos_de_contacto</t>
  </si>
  <si>
    <t>12</t>
  </si>
  <si>
    <t>NEW-PROP-012</t>
  </si>
  <si>
    <t>Razón del retraso</t>
  </si>
  <si>
    <t>razon_del_retraso</t>
  </si>
  <si>
    <t>13</t>
  </si>
  <si>
    <t>NEW-PROP-013</t>
  </si>
  <si>
    <t>Notas de gestión de cobranza</t>
  </si>
  <si>
    <t>notas_de_gestion_de_cobranza</t>
  </si>
  <si>
    <t>14</t>
  </si>
  <si>
    <t>NEW-PROP-014</t>
  </si>
  <si>
    <t>Fecha de aprobación de reestructura</t>
  </si>
  <si>
    <t>fecha_de_aprobacion_de_reestructura</t>
  </si>
  <si>
    <t>15</t>
  </si>
  <si>
    <t>NEW-PROP-015</t>
  </si>
  <si>
    <t>Responsable de aprobación</t>
  </si>
  <si>
    <t>responsable_de_aprobacion</t>
  </si>
  <si>
    <t>16</t>
  </si>
  <si>
    <t>NEW-PROP-016</t>
  </si>
  <si>
    <t>Motivo de reestructura</t>
  </si>
  <si>
    <t>motivo_de_reestructura</t>
  </si>
  <si>
    <t>17</t>
  </si>
  <si>
    <t>NEW-PROP-017</t>
  </si>
  <si>
    <t>Nota de decisión del comité</t>
  </si>
  <si>
    <t>nota_de_decision_del_comite</t>
  </si>
  <si>
    <t>18</t>
  </si>
  <si>
    <t>NEW-PROP-018</t>
  </si>
  <si>
    <t>Condiciones especiales del acuerdo</t>
  </si>
  <si>
    <t>condiciones_especiales_del_acuerdo</t>
  </si>
  <si>
    <t>19</t>
  </si>
  <si>
    <t>NEW-PROP-019</t>
  </si>
  <si>
    <t>Link al contrato de refinanciamiento</t>
  </si>
  <si>
    <t>link_al_contrato_de_refinanciamiento</t>
  </si>
  <si>
    <t>20</t>
  </si>
  <si>
    <t>NEW-PROP-020</t>
  </si>
  <si>
    <t>Días de mora al ingresar</t>
  </si>
  <si>
    <t>dias_de_mora_al_ingresar</t>
  </si>
  <si>
    <t>21</t>
  </si>
  <si>
    <t>NEW-PROP-021</t>
  </si>
  <si>
    <t>Número de expediente jurídico</t>
  </si>
  <si>
    <t>numero_de_expediente_juridico</t>
  </si>
  <si>
    <t>22</t>
  </si>
  <si>
    <t>NEW-PROP-022</t>
  </si>
  <si>
    <t>Abogado externo asignado</t>
  </si>
  <si>
    <t>abogado_externo_asignado</t>
  </si>
  <si>
    <t>23</t>
  </si>
  <si>
    <t>NEW-PROP-023</t>
  </si>
  <si>
    <t>Monto vencido acumulado al ingreso</t>
  </si>
  <si>
    <t>monto_vencido_acumulado_al_ingreso</t>
  </si>
  <si>
    <t>24</t>
  </si>
  <si>
    <t>NEW-PROP-024</t>
  </si>
  <si>
    <t>Monto recuperado</t>
  </si>
  <si>
    <t>monto_recuperado</t>
  </si>
  <si>
    <t>25</t>
  </si>
  <si>
    <t>NEW-PROP-025</t>
  </si>
  <si>
    <t>Observaciones del proceso de garantía</t>
  </si>
  <si>
    <t>observaciones_del_proceso_de_garantia</t>
  </si>
  <si>
    <t>26</t>
  </si>
  <si>
    <t>NEW-PROP-026</t>
  </si>
  <si>
    <t>Conciliación validada por D.F.</t>
  </si>
  <si>
    <t>conciliacion_validada_por_d_f</t>
  </si>
  <si>
    <t>27</t>
  </si>
  <si>
    <t>NEW-PROP-027</t>
  </si>
  <si>
    <t>Calificación del proyecto CNBV</t>
  </si>
  <si>
    <t>calificacion_del_proyecto_cnbv</t>
  </si>
  <si>
    <t>28</t>
  </si>
  <si>
    <t>NEW-PROP-028</t>
  </si>
  <si>
    <t>Link del expediente</t>
  </si>
  <si>
    <t>link_del_expediente</t>
  </si>
  <si>
    <t>creada 2026-04-10 (userId 61046026)</t>
  </si>
  <si>
    <t>29</t>
  </si>
  <si>
    <t>NEW-PROP-029</t>
  </si>
  <si>
    <t>Monto vencido acumulado al cierre</t>
  </si>
  <si>
    <t>monto_vencido_acumulado_al_cierre</t>
  </si>
  <si>
    <t>30</t>
  </si>
  <si>
    <t>NEW-PROP-030</t>
  </si>
  <si>
    <t>31</t>
  </si>
  <si>
    <t>NEW-PROP-031</t>
  </si>
  <si>
    <t>Observaciones del proceso legal</t>
  </si>
  <si>
    <t>observaciones_del_proceso_legal</t>
  </si>
  <si>
    <t>Auditoría técnica por API privada — estado real de HubSpot</t>
  </si>
  <si>
    <t>Extracción de SOLO LECTURA (no modifica HubSpot) · 17-jun-2026 10:06</t>
  </si>
  <si>
    <t>Metadata de la extracción</t>
  </si>
  <si>
    <t>Hub ID</t>
  </si>
  <si>
    <t>48427391</t>
  </si>
  <si>
    <t>App ID (extractor)</t>
  </si>
  <si>
    <t>42961396</t>
  </si>
  <si>
    <t>Scopes</t>
  </si>
  <si>
    <t>33</t>
  </si>
  <si>
    <t>Endpoints exitosos / con error</t>
  </si>
  <si>
    <t>28 / 5</t>
  </si>
  <si>
    <t>Workflows detectados</t>
  </si>
  <si>
    <t>96</t>
  </si>
  <si>
    <t>Propiedades detectadas</t>
  </si>
  <si>
    <t>2142</t>
  </si>
  <si>
    <t>Hechos verificados (evidencia objetiva)</t>
  </si>
  <si>
    <t>Workflows APAGADOS (de 96)</t>
  </si>
  <si>
    <t>39  ←  ON: 57</t>
  </si>
  <si>
    <t>Propiedades de las 31 de BNO que NO existen</t>
  </si>
  <si>
    <t>26 de 31  (existen: 5)</t>
  </si>
  <si>
    <t>· por nombre interno exacto, existen solo</t>
  </si>
  <si>
    <t>2 de 31</t>
  </si>
  <si>
    <t>Cómo se usa esto</t>
  </si>
  <si>
    <t>Es la 'verdad de campo' fechada que respalda los hallazgos: ver pestañas «WF estado real (96)» y «Verificación 31 propiedades». El archivo crudo completo (2,142 propiedades, JSON por endpoint) es el Excel maestro de la extracción, que se conserva como anexo de evidencia.</t>
  </si>
  <si>
    <t>Hallazgos adicionales verificados (2ª pasada, 17-jun)</t>
  </si>
  <si>
    <t>Custom objects en el portal</t>
  </si>
  <si>
    <t>0  → el objeto de Cobranza NO existe</t>
  </si>
  <si>
    <t>Usuarios con acceso al portal</t>
  </si>
  <si>
    <t>17  (6 BNO + 2 externos + Monific)</t>
  </si>
  <si>
    <t>· Usuarios de Black &amp; Orange (proveedor) aún activos</t>
  </si>
  <si>
    <t>· Abogados externos (fulmentfi.com) con acceso de usuario y owner</t>
  </si>
  <si>
    <t>Pipelines de negocios</t>
  </si>
  <si>
    <t>5 — sin «Mercado Secundario» ni «UNE»</t>
  </si>
  <si>
    <t>Equipos (teams)</t>
  </si>
  <si>
    <t>15 — sin equipo dedicado para ARI</t>
  </si>
  <si>
    <t>Limitaciones de la extracción</t>
  </si>
  <si>
    <t>Secuencias (sequences): no se pudieron extraer (error de API) → los hallazgos de secuencias de cobranza NO quedan verificados por API.</t>
  </si>
  <si>
    <t>«posibles_duplicados» (1,725): casi todos son propiedades NATIVAS de HubSpot con nombres parecidos; no es evidencia sólida salvo casos puntuales.</t>
  </si>
  <si>
    <t>60 marketing emails existen, pero NO equivalen a las 81 comunicaciones transaccionales del alcance.</t>
  </si>
  <si>
    <t>Reconciliación de propiedades (Matriz de masters vs estado real)</t>
  </si>
  <si>
    <t>Propiedades esperadas por los masters</t>
  </si>
  <si>
    <t>177</t>
  </si>
  <si>
    <t>Encontradas en HubSpot (por etiqueta exacta)</t>
  </si>
  <si>
    <t>128</t>
  </si>
  <si>
    <t>No encontradas en HubSpot</t>
  </si>
  <si>
    <t>31  (candidatas a crear)</t>
  </si>
  <si>
    <t>De las existentes 'accionables', con 0% de llenado</t>
  </si>
  <si>
    <t>35  (creadas pero vacías)</t>
  </si>
  <si>
    <t>Atribución: quién creó la configuración (propiedades 2025-2026)</t>
  </si>
  <si>
    <t>Creadas por Black &amp; Orange (proveedor)</t>
  </si>
  <si>
    <t>135  (Ochoa 76 · Bersot 59)</t>
  </si>
  <si>
    <t>Creadas por Monific</t>
  </si>
  <si>
    <t>Sin atribución a usuario actual (legacy/sistema/desactivados)</t>
  </si>
  <si>
    <t>643</t>
  </si>
  <si>
    <t>Formularios en el portal</t>
  </si>
  <si>
    <t>Limitación clave de esta extracción</t>
  </si>
  <si>
    <t>El extractor obtuvo la LISTA de workflows (estado ON/OFF), NO el detalle interno de cada flow (nodos, destinatarios, tokens, sequenceId). Por eso los hallazgos de lógica interna (notifica a Ochoa/Bersot, set_property sin correo, secuencia sin sequenceId, UNE sin folio) se sostienen en las auditorías manuales, no en esta API.</t>
  </si>
  <si>
    <t>Lógica de workflows — VERIFICADA por API (17-jun 11:02, 4,848 nodos)</t>
  </si>
  <si>
    <t>Workflows que envían correo al cliente</t>
  </si>
  <si>
    <t>9 de 96</t>
  </si>
  <si>
    <t>Workflows que SOLO hacen set_property (no comunican)</t>
  </si>
  <si>
    <t>85 de 96</t>
  </si>
  <si>
    <t>Nodos que inscriben a secuencia SIN sequenceId (rotos)</t>
  </si>
  <si>
    <t>Nodos con token en texto plano</t>
  </si>
  <si>
    <t>701  (en 45 workflows)</t>
  </si>
  <si>
    <t>Nodos de notificación interna a David Ochoa (BNO)</t>
  </si>
  <si>
    <t>→ asuntos: Nuevo solicitante enviado a evaluación · Escalamiento por apoyo en formalización · Solicitud de publicación de campaña en Monific</t>
  </si>
  <si>
    <t>Nota: la 'limitación' anterior (no se veía la lógica) YA NO APLICA: se extrajo el detalle nodo por nodo. Solo las secuencias como objeto siguen sin extraerse.</t>
  </si>
  <si>
    <t>Acceso y configuración — estado real (API 17-jun-2026)</t>
  </si>
  <si>
    <t>Usuarios con acceso al portal (17)</t>
  </si>
  <si>
    <t>Nombre</t>
  </si>
  <si>
    <t>Dominio</t>
  </si>
  <si>
    <t>Clasificación</t>
  </si>
  <si>
    <t>leticia@black-n-orange.com</t>
  </si>
  <si>
    <t>Letícia Gonçalves</t>
  </si>
  <si>
    <t>black-n-orange.com</t>
  </si>
  <si>
    <t>BNO (proveedor)</t>
  </si>
  <si>
    <t>jorge@black-n-orange.com</t>
  </si>
  <si>
    <t>Desarrollador Black and Orange</t>
  </si>
  <si>
    <t>jcordova@black-n-orange.com</t>
  </si>
  <si>
    <t>Jazmin Cordova</t>
  </si>
  <si>
    <t>dochoa@black-n-orange.com</t>
  </si>
  <si>
    <t>David Ochoa</t>
  </si>
  <si>
    <t>vgustin@black-n-orange.com</t>
  </si>
  <si>
    <t>Vanessa Gustin</t>
  </si>
  <si>
    <t>analuisa@monific.com</t>
  </si>
  <si>
    <t>Ana Luisa Becerril Martínez</t>
  </si>
  <si>
    <t>monific.com</t>
  </si>
  <si>
    <t>Monific</t>
  </si>
  <si>
    <t>raquel@monific.com</t>
  </si>
  <si>
    <t>Raquel Alfie</t>
  </si>
  <si>
    <t>jesus.torres@monific.com</t>
  </si>
  <si>
    <t>JESUS TORRES</t>
  </si>
  <si>
    <t>ted@monific.com</t>
  </si>
  <si>
    <t>Ted Senado Sacal</t>
  </si>
  <si>
    <t>emiliano@monific.com</t>
  </si>
  <si>
    <t>Miguel Emiliano Chacon Lopez</t>
  </si>
  <si>
    <t>vianey@monific.com</t>
  </si>
  <si>
    <t>Vianey Correa</t>
  </si>
  <si>
    <t>sasharomero@monific.com</t>
  </si>
  <si>
    <t>Sasha Nevelitchkii</t>
  </si>
  <si>
    <t>caroline@black-n-orange.com</t>
  </si>
  <si>
    <t>Caroline Bersot</t>
  </si>
  <si>
    <t>guillermo@monific.com</t>
  </si>
  <si>
    <t>Guillermo Gomez</t>
  </si>
  <si>
    <t>kgomez@monific.com</t>
  </si>
  <si>
    <t>Karen Gómez</t>
  </si>
  <si>
    <t>direccion@fulmentfi.com</t>
  </si>
  <si>
    <t>FRANCISCO RODRIGUEZ</t>
  </si>
  <si>
    <t>fulmentfi.com</t>
  </si>
  <si>
    <t>Externo — Abogados (despacho)</t>
  </si>
  <si>
    <t>emontes@fulmentfi.com</t>
  </si>
  <si>
    <t>Evelyn Montes</t>
  </si>
  <si>
    <t>Owners por dominio</t>
  </si>
  <si>
    <t>Owners</t>
  </si>
  <si>
    <t>aichatbot.na1.hubspot.com</t>
  </si>
  <si>
    <t>Equipos / teams (15)</t>
  </si>
  <si>
    <t>Ventas · Asesor de atención a solicitantes · Finanzas · Legal · PLD · Asesor de atención a inversionistas · Black and Orange · Evaluación técnica · Inversionistas · Atención al Cliente · Comite de aprobacíón · Marketing · Solicitantes · Evaluación jurídica · Evaluación financiera</t>
  </si>
  <si>
    <t>Pipelines de negocios (5)</t>
  </si>
  <si>
    <t>Solicitud de financiamiento</t>
  </si>
  <si>
    <t>inversión</t>
  </si>
  <si>
    <t>Proceso de cobranzas</t>
  </si>
  <si>
    <t>Pipeline Solicitantes</t>
  </si>
  <si>
    <t>Pipeline Inversionistas</t>
  </si>
  <si>
    <t>Configuración (resumen)</t>
  </si>
  <si>
    <t>Custom objects</t>
  </si>
  <si>
    <t>0 (el objeto de Cobranza no existe)</t>
  </si>
  <si>
    <t>Marketing emails</t>
  </si>
  <si>
    <t>60</t>
  </si>
  <si>
    <t>Mercado Secundario / UNE como pipeline</t>
  </si>
  <si>
    <t>No existen</t>
  </si>
  <si>
    <t>Atribución de configuración (propiedades 2025-2026)</t>
  </si>
  <si>
    <t>Creador</t>
  </si>
  <si>
    <t>Propiedades</t>
  </si>
  <si>
    <t>Black &amp; Orange (proveedor)</t>
  </si>
  <si>
    <t>Legacy / sistema / desactivados</t>
  </si>
  <si>
    <t>Nota sobre abogados externos (fulmentfi.com)</t>
  </si>
  <si>
    <t>Francisco Rodríguez (dirección) y Evelyn Montes, del despacho de abogados externos, tienen acceso como USUARIO y como OWNER al portal. No hay equipo segregado; conviven con datos de todos los pipelines. Revisar contra Ley Fintech y el compromiso de BNO de crear equipo dedicado (B14).</t>
  </si>
  <si>
    <t>MONIFIC × BNO — Resumen de hallazgos</t>
  </si>
  <si>
    <t>Total de registros</t>
  </si>
  <si>
    <t>Por origen</t>
  </si>
  <si>
    <t>Categoría</t>
  </si>
  <si>
    <t>Registros</t>
  </si>
  <si>
    <t>Por prioridad (norm.) — hallazgos de auditoría</t>
  </si>
  <si>
    <t>Informativo</t>
  </si>
  <si>
    <t>Validación Monific (Raquel) — por evidencia</t>
  </si>
  <si>
    <t>Resuelto pendiente de confirmar</t>
  </si>
  <si>
    <t>Sin evidencia objetiva — revisar</t>
  </si>
  <si>
    <t>Comunicaciones TO BE (entregable de BNO)</t>
  </si>
  <si>
    <t>Total comunicaciones objetivo</t>
  </si>
  <si>
    <t>· A crear</t>
  </si>
  <si>
    <t>· A corregir</t>
  </si>
  <si>
    <t>· Implementadas (avance)</t>
  </si>
  <si>
    <t>· No iniciadas (0%)</t>
  </si>
  <si>
    <t>Auditoría API — estado real (17-jun-2026)</t>
  </si>
  <si>
    <t>Workflows activos (ON)</t>
  </si>
  <si>
    <t>Workflows apagados (OFF)</t>
  </si>
  <si>
    <t>Propiedades de BNO creadas (de 31)</t>
  </si>
  <si>
    <t>Propiedades de BNO faltantes</t>
  </si>
  <si>
    <t>Acción P0/P1 de TI</t>
  </si>
  <si>
    <t>Hallazgo(s) vinculado(s)</t>
  </si>
  <si>
    <t>Nota</t>
  </si>
  <si>
    <t>Desactivar Migracion-monific y revocar token legacy (pat-na1-4b023**), tras confirmar que ningún proceso productivo lo usa.</t>
  </si>
  <si>
    <t>Hecho</t>
  </si>
  <si>
    <t>APP-001, APP-011</t>
  </si>
  <si>
    <t>Reducir scopes de trama1-monific: quitar users.write, crm.export, crm.import, highly_sensitive sin uso.</t>
  </si>
  <si>
    <t>Corregir POST /companies/search: no enviar filtro name cuando el valor esté vacío.</t>
  </si>
  <si>
    <t>APP-006, APP-018</t>
  </si>
  <si>
    <t>Implementar upsert de Contactos por email (buscar, PATCH si existe, POST si no).</t>
  </si>
  <si>
    <t>Corregir POST /deals: enviar dropdowns por internalValue, no por label (nombre_de_proyecto).</t>
  </si>
  <si>
    <t>APP-002, APP-038, APP-046, APP-052, APP-056</t>
  </si>
  <si>
    <t>Reprocesar/backfill los deals fallidos por encoding (~1,125 entre 1-may y 9-jun).</t>
  </si>
  <si>
    <t>APP-052, APP-038</t>
  </si>
  <si>
    <t>Causa raíz corregida (pto.5); falta el backfill.</t>
  </si>
  <si>
    <t>Batch nocturno financiero de Contactos: current_account_balance, invested_balance, account_value, current_profit.</t>
  </si>
  <si>
    <t>APP-031, APP-009</t>
  </si>
  <si>
    <t>Escribir stp_account_date cuando se cree cuenta STP.</t>
  </si>
  <si>
    <t>Escribir date_first_investment en la primera compra/inversión.</t>
  </si>
  <si>
    <t>Asociar Empresa→Contacto con label «Representante Legal» cuando Admin.Monific marque es_representante_legal=true.</t>
  </si>
  <si>
    <t>BNO debe crear primero el association label.</t>
  </si>
  <si>
    <t>Crear automáticamente los negocios de Mercado Secundario desde Admin.Monific.</t>
  </si>
  <si>
    <t>APP-048, APP-049</t>
  </si>
  <si>
    <t>Una vez BNO defina el modelo.</t>
  </si>
  <si>
    <t>Implementar Deal padre / asociación deal-deal para reinversiones Molly/Bella.</t>
  </si>
  <si>
    <t>APP-042, APP-053</t>
  </si>
  <si>
    <t>Si BNO confirma que es factible.</t>
  </si>
  <si>
    <t>Hecho = 1,2,3,5,8,9 · Pendiente TI = 4,6,7 · Condicionado a BNO = 10,11,12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</si>
</sst>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5">
    <font>
      <sz val="11.0"/>
      <color theme="1"/>
      <name val="Calibri"/>
      <scheme val="minor"/>
    </font>
    <font>
      <b/>
      <sz val="15.0"/>
      <color rgb="FFFFFFFF"/>
      <name val="Arial"/>
    </font>
    <font>
      <b/>
      <sz val="11.0"/>
      <color rgb="FF125C75"/>
      <name val="Arial"/>
    </font>
    <font>
      <sz val="10.0"/>
      <color rgb="FF555555"/>
      <name val="Arial"/>
    </font>
    <font>
      <sz val="11.0"/>
      <color rgb="FF003A4C"/>
      <name val="Arial"/>
    </font>
    <font>
      <b/>
      <sz val="12.0"/>
      <color rgb="FF003A4C"/>
      <name val="Arial"/>
    </font>
    <font>
      <sz val="10.0"/>
      <color theme="1"/>
      <name val="Arial"/>
    </font>
    <font>
      <sz val="10.0"/>
      <color theme="1"/>
      <name val="Calibri"/>
    </font>
    <font>
      <b/>
      <sz val="10.0"/>
      <color rgb="FF003A4C"/>
      <name val="Arial"/>
    </font>
    <font>
      <sz val="10.0"/>
      <color rgb="FF003A4C"/>
      <name val="Arial"/>
    </font>
    <font>
      <b/>
      <sz val="11.0"/>
      <color rgb="FF003A4C"/>
      <name val="Arial"/>
    </font>
    <font>
      <sz val="9.0"/>
      <color theme="1"/>
      <name val="Arial"/>
    </font>
    <font>
      <u/>
      <sz val="9.0"/>
      <color rgb="FF000000"/>
      <name val="Arial"/>
    </font>
    <font>
      <i/>
      <sz val="9.0"/>
      <color rgb="FF000000"/>
      <name val="Arial"/>
    </font>
    <font/>
    <font>
      <sz val="9.0"/>
      <color rgb="FF555555"/>
      <name val="Arial"/>
    </font>
    <font>
      <b/>
      <sz val="10.0"/>
      <color rgb="FFFFFFFF"/>
      <name val="Arial"/>
    </font>
    <font>
      <sz val="10.0"/>
      <color rgb="FF125C75"/>
      <name val="Arial"/>
    </font>
    <font>
      <sz val="11.0"/>
      <color rgb="FF125C75"/>
      <name val="Consolas"/>
    </font>
    <font>
      <b/>
      <sz val="10.0"/>
      <color rgb="FF125C75"/>
      <name val="Arial"/>
    </font>
    <font>
      <sz val="9.0"/>
      <color rgb="FF9C1C1C"/>
      <name val="Arial"/>
    </font>
    <font>
      <sz val="9.0"/>
      <color rgb="FF0A6B1E"/>
      <name val="Arial"/>
    </font>
    <font>
      <i/>
      <sz val="9.0"/>
      <color rgb="FF555555"/>
      <name val="Arial"/>
    </font>
    <font>
      <sz val="11.0"/>
      <color theme="1"/>
      <name val="Calibri"/>
    </font>
    <font>
      <b/>
      <sz val="11.0"/>
      <color rgb="FF9C1C1C"/>
      <name val="Arial"/>
    </font>
    <font>
      <sz val="11.0"/>
      <color rgb="FF9C1C1C"/>
      <name val="Consolas"/>
    </font>
    <font>
      <b/>
      <sz val="9.0"/>
      <color theme="1"/>
      <name val="Arial"/>
    </font>
    <font>
      <color theme="1"/>
      <name val="Calibri"/>
      <scheme val="minor"/>
    </font>
    <font>
      <b/>
      <i/>
      <sz val="9.0"/>
      <color rgb="FF9C1C1C"/>
      <name val="Arial"/>
    </font>
    <font>
      <b/>
      <sz val="9.0"/>
      <color rgb="FF9C1C1C"/>
      <name val="Arial"/>
    </font>
    <font>
      <b/>
      <sz val="9.0"/>
      <color rgb="FF0A6B1E"/>
      <name val="Arial"/>
    </font>
    <font>
      <b/>
      <sz val="14.0"/>
      <color rgb="FFFFFFFF"/>
      <name val="Arial"/>
    </font>
    <font>
      <sz val="9.0"/>
      <color rgb="FF003A4C"/>
      <name val="Arial"/>
    </font>
    <font>
      <b/>
      <sz val="9.0"/>
      <color rgb="FFFFFFFF"/>
      <name val="Arial"/>
    </font>
    <font>
      <b/>
      <sz val="9.0"/>
      <color rgb="FF125C75"/>
      <name val="Arial"/>
    </font>
  </fonts>
  <fills count="15">
    <fill>
      <patternFill patternType="none"/>
    </fill>
    <fill>
      <patternFill patternType="lightGray"/>
    </fill>
    <fill>
      <patternFill patternType="solid">
        <fgColor rgb="FF003A4C"/>
        <bgColor rgb="FF003A4C"/>
      </patternFill>
    </fill>
    <fill>
      <patternFill patternType="solid">
        <fgColor rgb="FFEAF3F7"/>
        <bgColor rgb="FFEAF3F7"/>
      </patternFill>
    </fill>
    <fill>
      <patternFill patternType="solid">
        <fgColor rgb="FFFFF3CD"/>
        <bgColor rgb="FFFFF3CD"/>
      </patternFill>
    </fill>
    <fill>
      <patternFill patternType="solid">
        <fgColor rgb="FF125C75"/>
        <bgColor rgb="FF125C75"/>
      </patternFill>
    </fill>
    <fill>
      <patternFill patternType="solid">
        <fgColor rgb="FFF2D7A0"/>
        <bgColor rgb="FFF2D7A0"/>
      </patternFill>
    </fill>
    <fill>
      <patternFill patternType="solid">
        <fgColor rgb="FFF8D7DA"/>
        <bgColor rgb="FFF8D7DA"/>
      </patternFill>
    </fill>
    <fill>
      <patternFill patternType="solid">
        <fgColor rgb="FFC6EFCE"/>
        <bgColor rgb="FFC6EFCE"/>
      </patternFill>
    </fill>
    <fill>
      <patternFill patternType="solid">
        <fgColor rgb="FFD9E8C7"/>
        <bgColor rgb="FFD9E8C7"/>
      </patternFill>
    </fill>
    <fill>
      <patternFill patternType="solid">
        <fgColor rgb="FFE2E2E2"/>
        <bgColor rgb="FFE2E2E2"/>
      </patternFill>
    </fill>
    <fill>
      <patternFill patternType="solid">
        <fgColor rgb="FFFFEB9C"/>
        <bgColor rgb="FFFFEB9C"/>
      </patternFill>
    </fill>
    <fill>
      <patternFill patternType="solid">
        <fgColor rgb="FFE8B4B8"/>
        <bgColor rgb="FFE8B4B8"/>
      </patternFill>
    </fill>
    <fill>
      <patternFill patternType="solid">
        <fgColor rgb="FFFCE4D6"/>
        <bgColor rgb="FFFCE4D6"/>
      </patternFill>
    </fill>
    <fill>
      <patternFill patternType="solid">
        <fgColor rgb="FFDCE7EF"/>
        <bgColor rgb="FFDCE7EF"/>
      </patternFill>
    </fill>
  </fills>
  <borders count="6">
    <border/>
    <border>
      <left/>
      <right/>
      <top/>
      <bottom/>
    </border>
    <border>
      <left/>
      <top/>
      <bottom/>
    </border>
    <border>
      <top/>
      <bottom/>
    </border>
    <border>
      <right/>
      <top/>
      <bottom/>
    </border>
    <border>
      <left style="thin">
        <color rgb="FFB5C9D1"/>
      </left>
      <right style="thin">
        <color rgb="FFB5C9D1"/>
      </right>
      <top style="thin">
        <color rgb="FFB5C9D1"/>
      </top>
      <bottom style="thin">
        <color rgb="FFB5C9D1"/>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0"/>
    </xf>
    <xf borderId="0" fillId="0" fontId="8" numFmtId="0" xfId="0" applyAlignment="1" applyFont="1">
      <alignment shrinkToFit="0" vertical="top" wrapText="1"/>
    </xf>
    <xf borderId="1" fillId="3" fontId="9" numFmtId="0" xfId="0" applyAlignment="1" applyBorder="1" applyFill="1" applyFont="1">
      <alignment readingOrder="0" shrinkToFit="0" vertical="top" wrapText="1"/>
    </xf>
    <xf borderId="1" fillId="4" fontId="6" numFmtId="0" xfId="0" applyAlignment="1" applyBorder="1" applyFill="1" applyFont="1">
      <alignment shrinkToFit="0" vertical="top" wrapText="1"/>
    </xf>
    <xf borderId="1" fillId="3" fontId="9" numFmtId="0" xfId="0" applyAlignment="1" applyBorder="1" applyFont="1">
      <alignment shrinkToFit="0" vertical="top" wrapText="1"/>
    </xf>
    <xf borderId="0" fillId="0" fontId="10" numFmtId="0" xfId="0" applyAlignment="1" applyFont="1">
      <alignment shrinkToFit="0" vertical="top" wrapText="1"/>
    </xf>
    <xf borderId="0" fillId="0" fontId="11" numFmtId="0" xfId="0" applyAlignment="1" applyFont="1">
      <alignment shrinkToFit="0" vertical="top" wrapText="1"/>
    </xf>
    <xf borderId="1" fillId="4" fontId="12" numFmtId="0" xfId="0" applyAlignment="1" applyBorder="1" applyFont="1">
      <alignment readingOrder="0" shrinkToFit="0" vertical="top" wrapText="1"/>
    </xf>
    <xf borderId="1" fillId="3" fontId="13" numFmtId="0" xfId="0" applyAlignment="1" applyBorder="1" applyFont="1">
      <alignment shrinkToFit="0" vertical="top" wrapText="1"/>
    </xf>
    <xf borderId="1" fillId="4" fontId="13" numFmtId="0" xfId="0" applyAlignment="1" applyBorder="1" applyFont="1">
      <alignment shrinkToFit="0" vertical="top" wrapText="1"/>
    </xf>
    <xf borderId="2" fillId="2" fontId="1" numFmtId="0" xfId="0" applyAlignment="1" applyBorder="1" applyFont="1">
      <alignment shrinkToFit="0" vertical="center" wrapText="0"/>
    </xf>
    <xf borderId="3" fillId="0" fontId="14" numFmtId="0" xfId="0" applyBorder="1" applyFont="1"/>
    <xf borderId="4" fillId="0" fontId="14" numFmtId="0" xfId="0" applyBorder="1" applyFont="1"/>
    <xf borderId="0" fillId="0" fontId="15" numFmtId="0" xfId="0" applyAlignment="1" applyFont="1">
      <alignment shrinkToFit="0" vertical="center" wrapText="0"/>
    </xf>
    <xf borderId="1" fillId="5" fontId="16" numFmtId="0" xfId="0" applyAlignment="1" applyBorder="1" applyFill="1" applyFont="1">
      <alignment shrinkToFit="0" vertical="center" wrapText="0"/>
    </xf>
    <xf borderId="0" fillId="0" fontId="9" numFmtId="0" xfId="0" applyAlignment="1" applyFont="1">
      <alignment shrinkToFit="0" vertical="center" wrapText="1"/>
    </xf>
    <xf borderId="0" fillId="0" fontId="17" numFmtId="0" xfId="0" applyAlignment="1" applyFont="1">
      <alignment horizontal="center" shrinkToFit="0" vertical="bottom" wrapText="0"/>
    </xf>
    <xf borderId="0" fillId="0" fontId="10" numFmtId="9" xfId="0" applyAlignment="1" applyFont="1" applyNumberFormat="1">
      <alignment horizontal="center" shrinkToFit="0" vertical="bottom" wrapText="0"/>
    </xf>
    <xf borderId="0" fillId="0" fontId="18" numFmtId="0" xfId="0" applyAlignment="1" applyFont="1">
      <alignment shrinkToFit="0" vertical="bottom" wrapText="0"/>
    </xf>
    <xf borderId="0" fillId="0" fontId="9" numFmtId="0" xfId="0" applyAlignment="1" applyFont="1">
      <alignment shrinkToFit="0" vertical="bottom" wrapText="0"/>
    </xf>
    <xf borderId="0" fillId="0" fontId="19" numFmtId="0" xfId="0" applyAlignment="1" applyFont="1">
      <alignment horizontal="center" shrinkToFit="0" vertical="bottom" wrapText="0"/>
    </xf>
    <xf borderId="0" fillId="0" fontId="8" numFmtId="0" xfId="0" applyAlignment="1" applyFont="1">
      <alignment shrinkToFit="0" vertical="center" wrapText="0"/>
    </xf>
    <xf borderId="0" fillId="0" fontId="20" numFmtId="0" xfId="0" applyAlignment="1" applyFont="1">
      <alignment shrinkToFit="0" vertical="center" wrapText="0"/>
    </xf>
    <xf borderId="0" fillId="0" fontId="21" numFmtId="0" xfId="0" applyAlignment="1" applyFont="1">
      <alignment shrinkToFit="0" vertical="center" wrapText="0"/>
    </xf>
    <xf borderId="0" fillId="0" fontId="22" numFmtId="0" xfId="0" applyAlignment="1" applyFont="1">
      <alignment shrinkToFit="0" vertical="bottom" wrapText="0"/>
    </xf>
    <xf borderId="0" fillId="0" fontId="23" numFmtId="0" xfId="0" applyAlignment="1" applyFont="1">
      <alignment shrinkToFit="0" vertical="bottom" wrapText="0"/>
    </xf>
    <xf borderId="1" fillId="5" fontId="16" numFmtId="0" xfId="0" applyAlignment="1" applyBorder="1" applyFont="1">
      <alignment shrinkToFit="0" vertical="bottom" wrapText="0"/>
    </xf>
    <xf borderId="0" fillId="0" fontId="24" numFmtId="9" xfId="0" applyAlignment="1" applyFont="1" applyNumberFormat="1">
      <alignment horizontal="center" shrinkToFit="0" vertical="bottom" wrapText="0"/>
    </xf>
    <xf borderId="0" fillId="0" fontId="25" numFmtId="0" xfId="0" applyAlignment="1" applyFont="1">
      <alignment shrinkToFit="0" vertical="bottom" wrapText="0"/>
    </xf>
    <xf borderId="5" fillId="2" fontId="16" numFmtId="0" xfId="0" applyAlignment="1" applyBorder="1" applyFont="1">
      <alignment horizontal="center" shrinkToFit="0" vertical="center" wrapText="1"/>
    </xf>
    <xf borderId="5" fillId="3" fontId="11" numFmtId="0" xfId="0" applyAlignment="1" applyBorder="1" applyFont="1">
      <alignment shrinkToFit="0" vertical="top" wrapText="1"/>
    </xf>
    <xf borderId="5" fillId="6" fontId="11" numFmtId="0" xfId="0" applyAlignment="1" applyBorder="1" applyFill="1" applyFont="1">
      <alignment shrinkToFit="0" vertical="top" wrapText="1"/>
    </xf>
    <xf borderId="5" fillId="7" fontId="26" numFmtId="0" xfId="0" applyAlignment="1" applyBorder="1" applyFill="1" applyFont="1">
      <alignment shrinkToFit="0" vertical="top" wrapText="1"/>
    </xf>
    <xf borderId="5" fillId="3" fontId="11" numFmtId="164" xfId="0" applyAlignment="1" applyBorder="1" applyFont="1" applyNumberFormat="1">
      <alignment readingOrder="0" shrinkToFit="0" vertical="top" wrapText="1"/>
    </xf>
    <xf borderId="0" fillId="0" fontId="27" numFmtId="0" xfId="0" applyFont="1"/>
    <xf borderId="5" fillId="0" fontId="11" numFmtId="0" xfId="0" applyAlignment="1" applyBorder="1" applyFont="1">
      <alignment shrinkToFit="0" vertical="top" wrapText="1"/>
    </xf>
    <xf borderId="5" fillId="8" fontId="26" numFmtId="0" xfId="0" applyAlignment="1" applyBorder="1" applyFill="1" applyFont="1">
      <alignment shrinkToFit="0" vertical="top" wrapText="1"/>
    </xf>
    <xf borderId="5" fillId="0" fontId="11" numFmtId="164" xfId="0" applyAlignment="1" applyBorder="1" applyFont="1" applyNumberFormat="1">
      <alignment readingOrder="0" shrinkToFit="0" vertical="top" wrapText="1"/>
    </xf>
    <xf borderId="5" fillId="9" fontId="11" numFmtId="0" xfId="0" applyAlignment="1" applyBorder="1" applyFill="1" applyFont="1">
      <alignment shrinkToFit="0" vertical="top" wrapText="1"/>
    </xf>
    <xf borderId="5" fillId="10" fontId="26" numFmtId="0" xfId="0" applyAlignment="1" applyBorder="1" applyFill="1" applyFont="1">
      <alignment shrinkToFit="0" vertical="top" wrapText="1"/>
    </xf>
    <xf borderId="5" fillId="11" fontId="26" numFmtId="0" xfId="0" applyAlignment="1" applyBorder="1" applyFill="1" applyFont="1">
      <alignment shrinkToFit="0" vertical="top" wrapText="1"/>
    </xf>
    <xf borderId="5" fillId="10" fontId="11" numFmtId="0" xfId="0" applyAlignment="1" applyBorder="1" applyFont="1">
      <alignment shrinkToFit="0" vertical="top" wrapText="1"/>
    </xf>
    <xf borderId="5" fillId="12" fontId="11" numFmtId="0" xfId="0" applyAlignment="1" applyBorder="1" applyFill="1" applyFont="1">
      <alignment shrinkToFit="0" vertical="top" wrapText="1"/>
    </xf>
    <xf borderId="5" fillId="8" fontId="11" numFmtId="0" xfId="0" applyAlignment="1" applyBorder="1" applyFont="1">
      <alignment shrinkToFit="0" vertical="top" wrapText="1"/>
    </xf>
    <xf borderId="5" fillId="11" fontId="11" numFmtId="0" xfId="0" applyAlignment="1" applyBorder="1" applyFont="1">
      <alignment shrinkToFit="0" vertical="top" wrapText="1"/>
    </xf>
    <xf borderId="5" fillId="13" fontId="11" numFmtId="0" xfId="0" applyAlignment="1" applyBorder="1" applyFill="1" applyFont="1">
      <alignment shrinkToFit="0" vertical="top" wrapText="1"/>
    </xf>
    <xf borderId="5" fillId="14" fontId="11" numFmtId="0" xfId="0" applyAlignment="1" applyBorder="1" applyFill="1" applyFont="1">
      <alignment shrinkToFit="0" vertical="top" wrapText="1"/>
    </xf>
    <xf borderId="5" fillId="7" fontId="11" numFmtId="0" xfId="0" applyAlignment="1" applyBorder="1" applyFont="1">
      <alignment shrinkToFit="0" vertical="top" wrapText="1"/>
    </xf>
    <xf borderId="5" fillId="4" fontId="11" numFmtId="0" xfId="0" applyAlignment="1" applyBorder="1" applyFont="1">
      <alignment shrinkToFit="0" vertical="top" wrapText="1"/>
    </xf>
    <xf borderId="0" fillId="0" fontId="28" numFmtId="0" xfId="0" applyAlignment="1" applyFont="1">
      <alignment shrinkToFit="0" vertical="bottom" wrapText="1"/>
    </xf>
    <xf borderId="5" fillId="7" fontId="29" numFmtId="0" xfId="0" applyAlignment="1" applyBorder="1" applyFont="1">
      <alignment shrinkToFit="0" vertical="top" wrapText="1"/>
    </xf>
    <xf borderId="5" fillId="8" fontId="30" numFmtId="0" xfId="0" applyAlignment="1" applyBorder="1" applyFont="1">
      <alignment shrinkToFit="0" vertical="top" wrapText="1"/>
    </xf>
    <xf borderId="0" fillId="0" fontId="22" numFmtId="0" xfId="0" applyAlignment="1" applyFont="1">
      <alignment shrinkToFit="0" vertical="bottom" wrapText="1"/>
    </xf>
    <xf borderId="0" fillId="0" fontId="29" numFmtId="0" xfId="0" applyAlignment="1" applyFont="1">
      <alignment shrinkToFit="0" vertical="bottom" wrapText="0"/>
    </xf>
    <xf borderId="0" fillId="0" fontId="20" numFmtId="0" xfId="0" applyAlignment="1" applyFont="1">
      <alignment shrinkToFit="0" vertical="bottom" wrapText="0"/>
    </xf>
    <xf borderId="2" fillId="2" fontId="31" numFmtId="0" xfId="0" applyAlignment="1" applyBorder="1" applyFont="1">
      <alignment shrinkToFit="0" vertical="center" wrapText="1"/>
    </xf>
    <xf borderId="0" fillId="0" fontId="15"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10" numFmtId="0" xfId="0" applyAlignment="1" applyFont="1">
      <alignment shrinkToFit="0" vertical="center" wrapText="1"/>
    </xf>
    <xf borderId="0" fillId="0" fontId="2" numFmtId="0" xfId="0" applyAlignment="1" applyFont="1">
      <alignment horizontal="center" shrinkToFit="0" vertical="bottom" wrapText="0"/>
    </xf>
    <xf borderId="1" fillId="13" fontId="4" numFmtId="0" xfId="0" applyAlignment="1" applyBorder="1" applyFont="1">
      <alignment shrinkToFit="0" vertical="center" wrapText="1"/>
    </xf>
    <xf borderId="1" fillId="13" fontId="2" numFmtId="0" xfId="0" applyAlignment="1" applyBorder="1" applyFont="1">
      <alignment horizontal="center" shrinkToFit="0" vertical="bottom" wrapText="0"/>
    </xf>
    <xf borderId="0" fillId="0" fontId="32" numFmtId="0" xfId="0" applyAlignment="1" applyFont="1">
      <alignment shrinkToFit="0" vertical="center" wrapText="1"/>
    </xf>
    <xf borderId="1" fillId="7" fontId="4" numFmtId="0" xfId="0" applyAlignment="1" applyBorder="1" applyFont="1">
      <alignment shrinkToFit="0" vertical="center" wrapText="1"/>
    </xf>
    <xf borderId="1" fillId="7" fontId="2" numFmtId="0" xfId="0" applyAlignment="1" applyBorder="1" applyFont="1">
      <alignment horizontal="center" shrinkToFit="0" vertical="bottom" wrapText="0"/>
    </xf>
    <xf borderId="0" fillId="0" fontId="5" numFmtId="0" xfId="0" applyAlignment="1" applyFont="1">
      <alignment readingOrder="0" shrinkToFit="0" vertical="center" wrapText="1"/>
    </xf>
    <xf borderId="2" fillId="4" fontId="5" numFmtId="0" xfId="0" applyAlignment="1" applyBorder="1" applyFont="1">
      <alignment shrinkToFit="0" vertical="center" wrapText="1"/>
    </xf>
    <xf borderId="1" fillId="8" fontId="5" numFmtId="0" xfId="0" applyAlignment="1" applyBorder="1" applyFont="1">
      <alignment shrinkToFit="0" vertical="center" wrapText="1"/>
    </xf>
    <xf borderId="1" fillId="2" fontId="31" numFmtId="0" xfId="0" applyAlignment="1" applyBorder="1" applyFont="1">
      <alignment shrinkToFit="0" vertical="bottom" wrapText="0"/>
    </xf>
    <xf borderId="0" fillId="0" fontId="5" numFmtId="0" xfId="0" applyAlignment="1" applyFont="1">
      <alignment shrinkToFit="0" vertical="bottom" wrapText="0"/>
    </xf>
    <xf borderId="1" fillId="5" fontId="33" numFmtId="0" xfId="0" applyAlignment="1" applyBorder="1" applyFont="1">
      <alignment shrinkToFit="0" vertical="bottom" wrapText="0"/>
    </xf>
    <xf borderId="5" fillId="0" fontId="11" numFmtId="0" xfId="0" applyAlignment="1" applyBorder="1" applyFont="1">
      <alignment shrinkToFit="0" vertical="bottom" wrapText="0"/>
    </xf>
    <xf borderId="5" fillId="13" fontId="11" numFmtId="0" xfId="0" applyAlignment="1" applyBorder="1" applyFont="1">
      <alignment shrinkToFit="0" vertical="bottom" wrapText="0"/>
    </xf>
    <xf borderId="5" fillId="7" fontId="11" numFmtId="0" xfId="0" applyAlignment="1" applyBorder="1" applyFont="1">
      <alignment shrinkToFit="0" vertical="bottom" wrapText="0"/>
    </xf>
    <xf borderId="0" fillId="0" fontId="11" numFmtId="0" xfId="0" applyAlignment="1" applyFont="1">
      <alignment shrinkToFit="0" vertical="bottom" wrapText="1"/>
    </xf>
    <xf borderId="0" fillId="0" fontId="34" numFmtId="0" xfId="0" applyAlignment="1" applyFont="1">
      <alignment shrinkToFit="0" vertical="bottom" wrapText="0"/>
    </xf>
    <xf borderId="0" fillId="0" fontId="20" numFmtId="0" xfId="0" applyAlignment="1" applyFont="1">
      <alignment shrinkToFit="0" vertical="bottom" wrapText="1"/>
    </xf>
    <xf borderId="0" fillId="0" fontId="23" numFmtId="0" xfId="0" applyAlignment="1" applyFont="1">
      <alignment shrinkToFit="0" vertical="center" wrapText="0"/>
    </xf>
    <xf borderId="0" fillId="0" fontId="5" numFmtId="0" xfId="0" applyAlignment="1" applyFont="1">
      <alignment shrinkToFit="0" vertical="center" wrapText="0"/>
    </xf>
    <xf borderId="0" fillId="0" fontId="1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7RJqlou3OydzP71eKH9m4VEHe8CX06tsyAEhrxTgrEw/edit?usp=drive_link" TargetMode="External"/><Relationship Id="rId2" Type="http://schemas.openxmlformats.org/officeDocument/2006/relationships/hyperlink" Target="https://docs.google.com/document/d/1afRXKDUaB_GD0pk6nazX4OmL28cYmyS0d8s4DI5nrL8/edit?usp=sharing" TargetMode="External"/><Relationship Id="rId3" Type="http://schemas.openxmlformats.org/officeDocument/2006/relationships/hyperlink" Target="https://drive.google.com/drive/folders/12g236WuGphwO5r3kGUUkEQyl3HB3q_Ty?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20.0"/>
    <col customWidth="1" min="3" max="6" width="8.71"/>
  </cols>
  <sheetData>
    <row r="1">
      <c r="B1" s="1" t="s">
        <v>0</v>
      </c>
    </row>
    <row r="2">
      <c r="B2" s="2" t="s">
        <v>1</v>
      </c>
    </row>
    <row r="3">
      <c r="B3" s="3" t="s">
        <v>2</v>
      </c>
    </row>
    <row r="4">
      <c r="B4" s="4"/>
    </row>
    <row r="5">
      <c r="B5" s="5" t="s">
        <v>3</v>
      </c>
    </row>
    <row r="6">
      <c r="B6" s="6" t="s">
        <v>4</v>
      </c>
    </row>
    <row r="7">
      <c r="B7" s="7"/>
    </row>
    <row r="8">
      <c r="B8" s="8" t="s">
        <v>5</v>
      </c>
    </row>
    <row r="9">
      <c r="B9" s="6" t="s">
        <v>6</v>
      </c>
    </row>
    <row r="10">
      <c r="B10" s="6" t="s">
        <v>7</v>
      </c>
    </row>
    <row r="11">
      <c r="B11" s="6" t="s">
        <v>8</v>
      </c>
    </row>
    <row r="12">
      <c r="B12" s="6" t="s">
        <v>9</v>
      </c>
    </row>
    <row r="13">
      <c r="B13" s="9" t="s">
        <v>10</v>
      </c>
    </row>
    <row r="14">
      <c r="B14" s="4"/>
    </row>
    <row r="15">
      <c r="B15" s="5" t="s">
        <v>11</v>
      </c>
    </row>
    <row r="16">
      <c r="B16" s="6" t="s">
        <v>12</v>
      </c>
    </row>
    <row r="17">
      <c r="B17" s="10" t="s">
        <v>13</v>
      </c>
    </row>
    <row r="18">
      <c r="B18" s="6" t="s">
        <v>14</v>
      </c>
    </row>
    <row r="19">
      <c r="B19" s="6" t="s">
        <v>15</v>
      </c>
    </row>
    <row r="20">
      <c r="B20" s="4"/>
    </row>
    <row r="21" ht="15.75" customHeight="1">
      <c r="B21" s="5" t="s">
        <v>16</v>
      </c>
    </row>
    <row r="22">
      <c r="B22" s="11" t="s">
        <v>17</v>
      </c>
    </row>
    <row r="23" ht="15.75" customHeight="1">
      <c r="B23" s="4"/>
    </row>
    <row r="24" ht="15.75" customHeight="1">
      <c r="B24" s="12" t="s">
        <v>18</v>
      </c>
    </row>
    <row r="25" ht="15.75" customHeight="1">
      <c r="B25" s="13" t="s">
        <v>19</v>
      </c>
    </row>
    <row r="26">
      <c r="B26" s="14" t="s">
        <v>20</v>
      </c>
    </row>
    <row r="27">
      <c r="B27" s="14" t="s">
        <v>21</v>
      </c>
    </row>
    <row r="28">
      <c r="B28" s="14" t="s">
        <v>22</v>
      </c>
    </row>
    <row r="29">
      <c r="B29" s="15" t="s">
        <v>23</v>
      </c>
    </row>
    <row r="30" ht="15.75" customHeight="1">
      <c r="B30" s="4"/>
    </row>
    <row r="31">
      <c r="B31" s="16" t="s">
        <v>24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6"/>
    <hyperlink r:id="rId2" ref="B27"/>
    <hyperlink r:id="rId3" ref="B28"/>
  </hyperlinks>
  <printOptions/>
  <pageMargins bottom="0.75" footer="0.0" header="0.0" left="0.25" right="0.25" top="0.75"/>
  <pageSetup fitToHeight="0"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3.0"/>
    <col customWidth="1" min="3" max="3" width="14.0"/>
    <col customWidth="1" min="4" max="4" width="9.0"/>
    <col customWidth="1" min="5" max="5" width="26.0"/>
    <col customWidth="1" min="6" max="6" width="8.71"/>
  </cols>
  <sheetData>
    <row r="1">
      <c r="B1" s="17" t="s">
        <v>25</v>
      </c>
      <c r="C1" s="18"/>
      <c r="D1" s="18"/>
      <c r="E1" s="19"/>
    </row>
    <row r="2">
      <c r="B2" s="20" t="s">
        <v>26</v>
      </c>
    </row>
    <row r="4">
      <c r="B4" s="21" t="s">
        <v>27</v>
      </c>
      <c r="C4" s="21" t="s">
        <v>28</v>
      </c>
      <c r="D4" s="21" t="s">
        <v>29</v>
      </c>
      <c r="E4" s="21" t="s">
        <v>30</v>
      </c>
    </row>
    <row r="5" ht="19.5" customHeight="1">
      <c r="B5" s="22" t="s">
        <v>31</v>
      </c>
      <c r="C5" s="23" t="str">
        <f>(COUNTIF('Hallazgos consolidados'!$N$2:$N$5000,"Sigue mal (abierto)")+COUNTIF('Hallazgos consolidados'!$N$2:$N$5000,"Sigue mal — BNO reconoció que aplica")+COUNTIF('Hallazgos consolidados'!$N$2:$N$5000,"Sigue mal — verificado por API")+COUNTIF('Hallazgos consolidados'!$N$2:$N$5000,"BNO documentó resuelto pero sigue mal")+COUNTIF('Hallazgos consolidados'!$N$2:$N$5000,"Bloqueado — pendiente decisión Monific")+COUNTIF('Hallazgos consolidados'!$N$2:$N$5000,"En curso (BNO)")+COUNTIF('Hallazgos consolidados'!$N$2:$N$5000,"Pendiente — BNO debe definir")+COUNTIF('Hallazgos consolidados'!$N$2:$N$5000,"Pendiente — TI Monific"))&amp;" / "&amp;COUNTA('Hallazgos consolidados'!$A$2:$A$5000)</f>
        <v>249 / 284</v>
      </c>
      <c r="D5" s="24">
        <f>IFERROR((COUNTIF('Hallazgos consolidados'!$N$2:$N$5000,"Sigue mal (abierto)")+COUNTIF('Hallazgos consolidados'!$N$2:$N$5000,"Sigue mal — BNO reconoció que aplica")+COUNTIF('Hallazgos consolidados'!$N$2:$N$5000,"Sigue mal — verificado por API")+COUNTIF('Hallazgos consolidados'!$N$2:$N$5000,"BNO documentó resuelto pero sigue mal")+COUNTIF('Hallazgos consolidados'!$N$2:$N$5000,"Bloqueado — pendiente decisión Monific")+COUNTIF('Hallazgos consolidados'!$N$2:$N$5000,"En curso (BNO)")+COUNTIF('Hallazgos consolidados'!$N$2:$N$5000,"Pendiente — BNO debe definir")+COUNTIF('Hallazgos consolidados'!$N$2:$N$5000,"Pendiente — TI Monific"))/COUNTA('Hallazgos consolidados'!$A$2:$A$5000),0)</f>
        <v>0.8767605634</v>
      </c>
      <c r="E5" s="25" t="str">
        <f t="shared" ref="E5:E9" si="1">REPT("█",MAX(0,MIN(20,ROUND(D5*20,0))))&amp;REPT("░",20-MAX(0,MIN(20,ROUND(D5*20,0))))</f>
        <v>██████████████████░░</v>
      </c>
    </row>
    <row r="6" ht="19.5" customHeight="1">
      <c r="B6" s="22" t="s">
        <v>32</v>
      </c>
      <c r="C6" s="23" t="str">
        <f>(COUNTIF('Hallazgos consolidados'!$N$2:$N$5000,"Validado (resuelto)")+COUNTIF('Hallazgos consolidados'!$N$2:$N$5000,"Resuelto (con pendiente menor)")+COUNTIF('Hallazgos consolidados'!$N$2:$N$5000,"Resuelto pendiente de confirmar")+COUNTIF('Hallazgos consolidados'!$N$2:$N$5000,"Resuelto por TI Monific (Daniel)"))&amp;" / "&amp;COUNTA('Hallazgos consolidados'!$A$2:$A$5000)</f>
        <v>18 / 284</v>
      </c>
      <c r="D6" s="24">
        <f>IFERROR((COUNTIF('Hallazgos consolidados'!$N$2:$N$5000,"Validado (resuelto)")+COUNTIF('Hallazgos consolidados'!$N$2:$N$5000,"Resuelto (con pendiente menor)")+COUNTIF('Hallazgos consolidados'!$N$2:$N$5000,"Resuelto pendiente de confirmar")+COUNTIF('Hallazgos consolidados'!$N$2:$N$5000,"Resuelto por TI Monific (Daniel)"))/COUNTA('Hallazgos consolidados'!$A$2:$A$5000),0)</f>
        <v>0.06338028169</v>
      </c>
      <c r="E6" s="25" t="str">
        <f t="shared" si="1"/>
        <v>█░░░░░░░░░░░░░░░░░░░</v>
      </c>
    </row>
    <row r="7" ht="19.5" customHeight="1">
      <c r="B7" s="22" t="s">
        <v>33</v>
      </c>
      <c r="C7" s="23" t="str">
        <f>COUNTIF('Hallazgos consolidados'!$N$2:$N$5000,"Sigue mal — BNO reconoció que aplica")&amp;" / "&amp;COUNTA('Hallazgos consolidados'!$A$2:$A$5000)</f>
        <v>103 / 284</v>
      </c>
      <c r="D7" s="24">
        <f>IFERROR(COUNTIF('Hallazgos consolidados'!$N$2:$N$5000,"Sigue mal — BNO reconoció que aplica")/COUNTA('Hallazgos consolidados'!$A$2:$A$5000),0)</f>
        <v>0.3626760563</v>
      </c>
      <c r="E7" s="25" t="str">
        <f t="shared" si="1"/>
        <v>███████░░░░░░░░░░░░░</v>
      </c>
    </row>
    <row r="8" ht="19.5" customHeight="1">
      <c r="B8" s="22" t="s">
        <v>34</v>
      </c>
      <c r="C8" s="23" t="str">
        <f>COUNTIF('Hallazgos consolidados'!$O$2:$O$5000,"Sí – Daniel (hecho)")&amp;" / "&amp;(COUNTIF('Hallazgos consolidados'!$O$2:$O$5000,"Sí – Daniel (hecho)")+COUNTIF('Hallazgos consolidados'!$O$2:$O$5000,"Pendiente TI")+COUNTIF('Hallazgos consolidados'!$O$2:$O$5000,"Condicionado a BNO"))</f>
        <v>12 / 20</v>
      </c>
      <c r="D8" s="24">
        <f>IFERROR(COUNTIF('Hallazgos consolidados'!$O$2:$O$5000,"Sí – Daniel (hecho)")/(COUNTIF('Hallazgos consolidados'!$O$2:$O$5000,"Sí – Daniel (hecho)")+COUNTIF('Hallazgos consolidados'!$O$2:$O$5000,"Pendiente TI")+COUNTIF('Hallazgos consolidados'!$O$2:$O$5000,"Condicionado a BNO")),0)</f>
        <v>0.6</v>
      </c>
      <c r="E8" s="25" t="str">
        <f t="shared" si="1"/>
        <v>████████████░░░░░░░░</v>
      </c>
    </row>
    <row r="9" ht="19.5" customHeight="1">
      <c r="B9" s="22" t="s">
        <v>35</v>
      </c>
      <c r="C9" s="23" t="str">
        <f>(COUNTA('Comunicaciones (81)'!$A$2:$A$5000)-COUNTIF('Comunicaciones (81)'!$L$2:$L$5000,"No iniciado"))&amp;" / "&amp;COUNTA('Comunicaciones (81)'!$A$2:$A$5000)</f>
        <v>0 / 81</v>
      </c>
      <c r="D9" s="24">
        <f>IFERROR((COUNTA('Comunicaciones (81)'!$A$2:$A$5000)-COUNTIF('Comunicaciones (81)'!$L$2:$L$5000,"No iniciado"))/COUNTA('Comunicaciones (81)'!$A$2:$A$5000),0)</f>
        <v>0</v>
      </c>
      <c r="E9" s="25" t="str">
        <f t="shared" si="1"/>
        <v>░░░░░░░░░░░░░░░░░░░░</v>
      </c>
    </row>
    <row r="11">
      <c r="B11" s="21" t="s">
        <v>36</v>
      </c>
      <c r="C11" s="21" t="s">
        <v>37</v>
      </c>
    </row>
    <row r="12">
      <c r="B12" s="26" t="s">
        <v>38</v>
      </c>
      <c r="C12" s="27">
        <f>COUNTIF('Hallazgos consolidados'!$W$2:$W$5000,"Sí")</f>
        <v>217</v>
      </c>
    </row>
    <row r="13">
      <c r="B13" s="26" t="s">
        <v>39</v>
      </c>
      <c r="C13" s="27">
        <f>COUNTIFS('Hallazgos consolidados'!$W$2:$W$5000,"Sí",'Hallazgos consolidados'!$I$2:$I$5000,"Crítico")</f>
        <v>84</v>
      </c>
    </row>
    <row r="14">
      <c r="B14" s="26" t="s">
        <v>40</v>
      </c>
      <c r="C14" s="27" t="str">
        <f>COUNTA('Hallazgos consolidados'!$A$2:$A$5000)&amp;" / "&amp;COUNTA('Comunicaciones (81)'!$A$2:$A$5000)</f>
        <v>284 / 81</v>
      </c>
    </row>
    <row r="15">
      <c r="B15" s="28" t="s">
        <v>41</v>
      </c>
    </row>
    <row r="16">
      <c r="B16" s="28" t="s">
        <v>42</v>
      </c>
    </row>
    <row r="17">
      <c r="B17" s="29" t="s">
        <v>43</v>
      </c>
    </row>
    <row r="18">
      <c r="B18" s="30" t="s">
        <v>44</v>
      </c>
    </row>
    <row r="19">
      <c r="B19" s="20" t="s">
        <v>45</v>
      </c>
    </row>
    <row r="20">
      <c r="B20" s="31"/>
    </row>
    <row r="21" ht="15.75" customHeight="1">
      <c r="B21" s="32" t="s">
        <v>46</v>
      </c>
    </row>
    <row r="22" ht="15.75" customHeight="1">
      <c r="B22" s="33"/>
      <c r="C22" s="33"/>
      <c r="D22" s="33"/>
      <c r="E22" s="33"/>
    </row>
    <row r="23" ht="15.75" customHeight="1">
      <c r="B23" s="32" t="s">
        <v>47</v>
      </c>
      <c r="C23" s="32" t="s">
        <v>28</v>
      </c>
      <c r="D23" s="32" t="s">
        <v>29</v>
      </c>
      <c r="E23" s="32" t="s">
        <v>30</v>
      </c>
    </row>
    <row r="24" ht="19.5" customHeight="1">
      <c r="B24" s="22" t="s">
        <v>48</v>
      </c>
      <c r="C24" s="23" t="str">
        <f>COUNTIF('WF estado real (96)'!$C$2:$C$5000,"ON")&amp;" / "&amp;COUNTA('WF estado real (96)'!$A$2:$A$5000)</f>
        <v>57 / 96</v>
      </c>
      <c r="D24" s="34">
        <f>IFERROR(COUNTIF('WF estado real (96)'!$C$2:$C$5000,"ON")/COUNTA('WF estado real (96)'!$A$2:$A$5000),0)</f>
        <v>0.59375</v>
      </c>
      <c r="E24" s="35" t="str">
        <f t="shared" ref="E24:E26" si="2">REPT("█",MAX(0,MIN(20,ROUND(D24*20,0))))&amp;REPT("░",20-MAX(0,MIN(20,ROUND(D24*20,0))))</f>
        <v>████████████░░░░░░░░</v>
      </c>
    </row>
    <row r="25" ht="19.5" customHeight="1">
      <c r="B25" s="22" t="s">
        <v>49</v>
      </c>
      <c r="C25" s="23" t="str">
        <f>COUNTIF('Verificación 31 propiedades'!$H$2:$H$5000,"EXISTE*")&amp;" / 31"</f>
        <v>5 / 31</v>
      </c>
      <c r="D25" s="34">
        <f>IFERROR(COUNTIF('Verificación 31 propiedades'!$H$2:$H$5000,"EXISTE*")/31,0)</f>
        <v>0.1612903226</v>
      </c>
      <c r="E25" s="35" t="str">
        <f t="shared" si="2"/>
        <v>███░░░░░░░░░░░░░░░░░</v>
      </c>
    </row>
    <row r="26" ht="15.75" customHeight="1">
      <c r="B26" s="26" t="s">
        <v>50</v>
      </c>
      <c r="C26" s="23" t="str">
        <f>9&amp;" / 96"</f>
        <v>9 / 96</v>
      </c>
      <c r="D26" s="34">
        <f>IFERROR(9/96,0)</f>
        <v>0.09375</v>
      </c>
      <c r="E26" s="35" t="str">
        <f t="shared" si="2"/>
        <v>██░░░░░░░░░░░░░░░░░░</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24.0"/>
    <col customWidth="1" min="3" max="3" width="18.0"/>
    <col customWidth="1" min="4" max="5" width="16.0"/>
    <col customWidth="1" min="6" max="6" width="10.0"/>
    <col customWidth="1" min="7" max="7" width="58.0"/>
    <col customWidth="1" min="8" max="9" width="11.0"/>
    <col customWidth="1" min="10" max="10" width="16.0"/>
    <col customWidth="1" min="11" max="11" width="22.0"/>
    <col customWidth="1" min="12" max="12" width="24.0"/>
    <col customWidth="1" min="13" max="13" width="46.0"/>
    <col customWidth="1" min="14" max="14" width="30.0"/>
    <col customWidth="1" min="15" max="15" width="18.0"/>
    <col customWidth="1" min="16" max="16" width="9.0"/>
    <col customWidth="1" min="17" max="17" width="44.0"/>
    <col customWidth="1" min="18" max="18" width="38.0"/>
    <col customWidth="1" min="19" max="19" width="32.0"/>
    <col customWidth="1" min="20" max="20" width="46.0"/>
    <col customWidth="1" min="21" max="21" width="16.0"/>
    <col customWidth="1" min="22" max="22" width="18.43"/>
    <col customWidth="1" min="23" max="23" width="18.0"/>
  </cols>
  <sheetData>
    <row r="1" ht="30.0" customHeight="1">
      <c r="A1" s="36" t="s">
        <v>51</v>
      </c>
      <c r="B1" s="36" t="s">
        <v>52</v>
      </c>
      <c r="C1" s="36" t="s">
        <v>53</v>
      </c>
      <c r="D1" s="36" t="s">
        <v>54</v>
      </c>
      <c r="E1" s="36" t="s">
        <v>55</v>
      </c>
      <c r="F1" s="36" t="s">
        <v>56</v>
      </c>
      <c r="G1" s="36" t="s">
        <v>57</v>
      </c>
      <c r="H1" s="36" t="s">
        <v>58</v>
      </c>
      <c r="I1" s="36" t="s">
        <v>59</v>
      </c>
      <c r="J1" s="36" t="s">
        <v>60</v>
      </c>
      <c r="K1" s="36" t="s">
        <v>61</v>
      </c>
      <c r="L1" s="36" t="s">
        <v>62</v>
      </c>
      <c r="M1" s="36" t="s">
        <v>63</v>
      </c>
      <c r="N1" s="36" t="s">
        <v>64</v>
      </c>
      <c r="O1" s="36" t="s">
        <v>65</v>
      </c>
      <c r="P1" s="36" t="s">
        <v>66</v>
      </c>
      <c r="Q1" s="36" t="s">
        <v>67</v>
      </c>
      <c r="R1" s="36" t="s">
        <v>68</v>
      </c>
      <c r="S1" s="36" t="s">
        <v>69</v>
      </c>
      <c r="T1" s="36" t="s">
        <v>70</v>
      </c>
      <c r="U1" s="36" t="s">
        <v>71</v>
      </c>
      <c r="V1" s="36" t="s">
        <v>72</v>
      </c>
      <c r="W1" s="36" t="s">
        <v>73</v>
      </c>
    </row>
    <row r="2">
      <c r="A2" s="37" t="s">
        <v>74</v>
      </c>
      <c r="B2" s="37" t="s">
        <v>75</v>
      </c>
      <c r="C2" s="37" t="s">
        <v>76</v>
      </c>
      <c r="D2" s="37" t="s">
        <v>77</v>
      </c>
      <c r="E2" s="37"/>
      <c r="F2" s="37" t="s">
        <v>78</v>
      </c>
      <c r="G2" s="37" t="s">
        <v>79</v>
      </c>
      <c r="H2" s="37" t="s">
        <v>80</v>
      </c>
      <c r="I2" s="38" t="s">
        <v>80</v>
      </c>
      <c r="J2" s="37" t="s">
        <v>81</v>
      </c>
      <c r="K2" s="37" t="s">
        <v>82</v>
      </c>
      <c r="L2" s="37" t="s">
        <v>83</v>
      </c>
      <c r="M2" s="37" t="s">
        <v>84</v>
      </c>
      <c r="N2" s="39" t="s">
        <v>85</v>
      </c>
      <c r="O2" s="37" t="s">
        <v>86</v>
      </c>
      <c r="P2" s="37"/>
      <c r="Q2" s="37" t="s">
        <v>87</v>
      </c>
      <c r="R2" s="37"/>
      <c r="S2" s="37" t="s">
        <v>88</v>
      </c>
      <c r="T2" s="37" t="s">
        <v>89</v>
      </c>
      <c r="U2" s="37" t="s">
        <v>90</v>
      </c>
      <c r="V2" s="40">
        <v>46191.0</v>
      </c>
      <c r="W2" s="41" t="s">
        <v>91</v>
      </c>
    </row>
    <row r="3">
      <c r="A3" s="42" t="s">
        <v>92</v>
      </c>
      <c r="B3" s="42" t="s">
        <v>75</v>
      </c>
      <c r="C3" s="42" t="s">
        <v>93</v>
      </c>
      <c r="D3" s="42" t="s">
        <v>77</v>
      </c>
      <c r="E3" s="42"/>
      <c r="F3" s="42" t="s">
        <v>78</v>
      </c>
      <c r="G3" s="42" t="s">
        <v>94</v>
      </c>
      <c r="H3" s="42" t="s">
        <v>80</v>
      </c>
      <c r="I3" s="38" t="s">
        <v>80</v>
      </c>
      <c r="J3" s="42" t="s">
        <v>95</v>
      </c>
      <c r="K3" s="42" t="s">
        <v>82</v>
      </c>
      <c r="L3" s="42" t="s">
        <v>83</v>
      </c>
      <c r="M3" s="42" t="s">
        <v>96</v>
      </c>
      <c r="N3" s="43" t="s">
        <v>97</v>
      </c>
      <c r="O3" s="42" t="s">
        <v>86</v>
      </c>
      <c r="P3" s="42"/>
      <c r="Q3" s="42" t="s">
        <v>98</v>
      </c>
      <c r="R3" s="42"/>
      <c r="S3" s="42" t="s">
        <v>88</v>
      </c>
      <c r="T3" s="42" t="s">
        <v>99</v>
      </c>
      <c r="U3" s="42" t="s">
        <v>90</v>
      </c>
      <c r="V3" s="44">
        <v>46191.0</v>
      </c>
      <c r="W3" s="41" t="s">
        <v>100</v>
      </c>
    </row>
    <row r="4">
      <c r="A4" s="37" t="s">
        <v>101</v>
      </c>
      <c r="B4" s="37" t="s">
        <v>75</v>
      </c>
      <c r="C4" s="37" t="s">
        <v>102</v>
      </c>
      <c r="D4" s="37" t="s">
        <v>77</v>
      </c>
      <c r="E4" s="37"/>
      <c r="F4" s="37" t="s">
        <v>78</v>
      </c>
      <c r="G4" s="37" t="s">
        <v>103</v>
      </c>
      <c r="H4" s="37" t="s">
        <v>104</v>
      </c>
      <c r="I4" s="45" t="s">
        <v>104</v>
      </c>
      <c r="J4" s="37" t="s">
        <v>95</v>
      </c>
      <c r="K4" s="37" t="s">
        <v>105</v>
      </c>
      <c r="L4" s="37" t="s">
        <v>83</v>
      </c>
      <c r="M4" s="37" t="s">
        <v>106</v>
      </c>
      <c r="N4" s="43" t="s">
        <v>107</v>
      </c>
      <c r="O4" s="37" t="s">
        <v>86</v>
      </c>
      <c r="P4" s="37"/>
      <c r="Q4" s="37" t="s">
        <v>108</v>
      </c>
      <c r="R4" s="37"/>
      <c r="S4" s="37" t="s">
        <v>88</v>
      </c>
      <c r="T4" s="37" t="s">
        <v>109</v>
      </c>
      <c r="U4" s="37" t="s">
        <v>90</v>
      </c>
      <c r="V4" s="40">
        <v>46191.0</v>
      </c>
      <c r="W4" s="41" t="s">
        <v>100</v>
      </c>
    </row>
    <row r="5">
      <c r="A5" s="42" t="s">
        <v>110</v>
      </c>
      <c r="B5" s="42" t="s">
        <v>75</v>
      </c>
      <c r="C5" s="42" t="s">
        <v>111</v>
      </c>
      <c r="D5" s="42" t="s">
        <v>77</v>
      </c>
      <c r="E5" s="42"/>
      <c r="F5" s="42" t="s">
        <v>112</v>
      </c>
      <c r="G5" s="42" t="s">
        <v>113</v>
      </c>
      <c r="H5" s="42" t="s">
        <v>104</v>
      </c>
      <c r="I5" s="45" t="s">
        <v>104</v>
      </c>
      <c r="J5" s="42" t="s">
        <v>114</v>
      </c>
      <c r="K5" s="42" t="s">
        <v>115</v>
      </c>
      <c r="L5" s="42" t="s">
        <v>116</v>
      </c>
      <c r="M5" s="42" t="s">
        <v>117</v>
      </c>
      <c r="N5" s="46" t="s">
        <v>118</v>
      </c>
      <c r="O5" s="42" t="s">
        <v>86</v>
      </c>
      <c r="P5" s="42"/>
      <c r="Q5" s="42" t="s">
        <v>119</v>
      </c>
      <c r="R5" s="42"/>
      <c r="S5" s="42" t="s">
        <v>88</v>
      </c>
      <c r="T5" s="42" t="s">
        <v>120</v>
      </c>
      <c r="U5" s="42" t="s">
        <v>90</v>
      </c>
      <c r="V5" s="44">
        <v>46191.0</v>
      </c>
      <c r="W5" s="41" t="s">
        <v>100</v>
      </c>
    </row>
    <row r="6">
      <c r="A6" s="37" t="s">
        <v>121</v>
      </c>
      <c r="B6" s="37" t="s">
        <v>75</v>
      </c>
      <c r="C6" s="37" t="s">
        <v>122</v>
      </c>
      <c r="D6" s="37" t="s">
        <v>77</v>
      </c>
      <c r="E6" s="37"/>
      <c r="F6" s="37" t="s">
        <v>112</v>
      </c>
      <c r="G6" s="37" t="s">
        <v>123</v>
      </c>
      <c r="H6" s="37" t="s">
        <v>104</v>
      </c>
      <c r="I6" s="45" t="s">
        <v>104</v>
      </c>
      <c r="J6" s="37" t="s">
        <v>124</v>
      </c>
      <c r="K6" s="37" t="s">
        <v>115</v>
      </c>
      <c r="L6" s="37" t="s">
        <v>116</v>
      </c>
      <c r="M6" s="37" t="s">
        <v>125</v>
      </c>
      <c r="N6" s="47" t="s">
        <v>126</v>
      </c>
      <c r="O6" s="37" t="s">
        <v>86</v>
      </c>
      <c r="P6" s="37"/>
      <c r="Q6" s="37" t="s">
        <v>127</v>
      </c>
      <c r="R6" s="37"/>
      <c r="S6" s="37" t="s">
        <v>88</v>
      </c>
      <c r="T6" s="37" t="s">
        <v>128</v>
      </c>
      <c r="U6" s="37" t="s">
        <v>90</v>
      </c>
      <c r="V6" s="40">
        <v>46191.0</v>
      </c>
      <c r="W6" s="41" t="s">
        <v>100</v>
      </c>
    </row>
    <row r="7">
      <c r="A7" s="42" t="s">
        <v>129</v>
      </c>
      <c r="B7" s="42" t="s">
        <v>75</v>
      </c>
      <c r="C7" s="42" t="s">
        <v>130</v>
      </c>
      <c r="D7" s="42" t="s">
        <v>77</v>
      </c>
      <c r="E7" s="42"/>
      <c r="F7" s="42" t="s">
        <v>131</v>
      </c>
      <c r="G7" s="42" t="s">
        <v>132</v>
      </c>
      <c r="H7" s="42" t="s">
        <v>80</v>
      </c>
      <c r="I7" s="38" t="s">
        <v>80</v>
      </c>
      <c r="J7" s="42" t="s">
        <v>81</v>
      </c>
      <c r="K7" s="42" t="s">
        <v>82</v>
      </c>
      <c r="L7" s="42" t="s">
        <v>83</v>
      </c>
      <c r="M7" s="42" t="s">
        <v>133</v>
      </c>
      <c r="N7" s="39" t="s">
        <v>134</v>
      </c>
      <c r="O7" s="42" t="s">
        <v>86</v>
      </c>
      <c r="P7" s="42"/>
      <c r="Q7" s="42" t="s">
        <v>135</v>
      </c>
      <c r="R7" s="42"/>
      <c r="S7" s="42" t="s">
        <v>88</v>
      </c>
      <c r="T7" s="42" t="s">
        <v>136</v>
      </c>
      <c r="U7" s="42" t="s">
        <v>90</v>
      </c>
      <c r="V7" s="44">
        <v>46191.0</v>
      </c>
      <c r="W7" s="41" t="s">
        <v>91</v>
      </c>
    </row>
    <row r="8">
      <c r="A8" s="37" t="s">
        <v>137</v>
      </c>
      <c r="B8" s="37" t="s">
        <v>75</v>
      </c>
      <c r="C8" s="37" t="s">
        <v>138</v>
      </c>
      <c r="D8" s="37" t="s">
        <v>77</v>
      </c>
      <c r="E8" s="37"/>
      <c r="F8" s="37" t="s">
        <v>131</v>
      </c>
      <c r="G8" s="37" t="s">
        <v>139</v>
      </c>
      <c r="H8" s="37" t="s">
        <v>104</v>
      </c>
      <c r="I8" s="45" t="s">
        <v>104</v>
      </c>
      <c r="J8" s="37" t="s">
        <v>81</v>
      </c>
      <c r="K8" s="37" t="s">
        <v>82</v>
      </c>
      <c r="L8" s="37" t="s">
        <v>83</v>
      </c>
      <c r="M8" s="37" t="s">
        <v>140</v>
      </c>
      <c r="N8" s="39" t="s">
        <v>134</v>
      </c>
      <c r="O8" s="37" t="s">
        <v>86</v>
      </c>
      <c r="P8" s="37"/>
      <c r="Q8" s="37" t="s">
        <v>141</v>
      </c>
      <c r="R8" s="37"/>
      <c r="S8" s="37" t="s">
        <v>88</v>
      </c>
      <c r="T8" s="37" t="s">
        <v>136</v>
      </c>
      <c r="U8" s="37" t="s">
        <v>90</v>
      </c>
      <c r="V8" s="40">
        <v>46191.0</v>
      </c>
      <c r="W8" s="41" t="s">
        <v>91</v>
      </c>
    </row>
    <row r="9">
      <c r="A9" s="42" t="s">
        <v>142</v>
      </c>
      <c r="B9" s="42" t="s">
        <v>75</v>
      </c>
      <c r="C9" s="42" t="s">
        <v>143</v>
      </c>
      <c r="D9" s="42" t="s">
        <v>77</v>
      </c>
      <c r="E9" s="42"/>
      <c r="F9" s="42" t="s">
        <v>131</v>
      </c>
      <c r="G9" s="42" t="s">
        <v>144</v>
      </c>
      <c r="H9" s="42" t="s">
        <v>104</v>
      </c>
      <c r="I9" s="45" t="s">
        <v>104</v>
      </c>
      <c r="J9" s="42" t="s">
        <v>114</v>
      </c>
      <c r="K9" s="42" t="s">
        <v>115</v>
      </c>
      <c r="L9" s="42" t="s">
        <v>116</v>
      </c>
      <c r="M9" s="42" t="s">
        <v>145</v>
      </c>
      <c r="N9" s="46" t="s">
        <v>118</v>
      </c>
      <c r="O9" s="42" t="s">
        <v>86</v>
      </c>
      <c r="P9" s="42"/>
      <c r="Q9" s="42" t="s">
        <v>146</v>
      </c>
      <c r="R9" s="42"/>
      <c r="S9" s="42" t="s">
        <v>88</v>
      </c>
      <c r="T9" s="42" t="s">
        <v>120</v>
      </c>
      <c r="U9" s="42" t="s">
        <v>90</v>
      </c>
      <c r="V9" s="44">
        <v>46191.0</v>
      </c>
      <c r="W9" s="41" t="s">
        <v>100</v>
      </c>
    </row>
    <row r="10">
      <c r="A10" s="37" t="s">
        <v>147</v>
      </c>
      <c r="B10" s="37" t="s">
        <v>75</v>
      </c>
      <c r="C10" s="37" t="s">
        <v>148</v>
      </c>
      <c r="D10" s="37" t="s">
        <v>77</v>
      </c>
      <c r="E10" s="37"/>
      <c r="F10" s="37" t="s">
        <v>149</v>
      </c>
      <c r="G10" s="37" t="s">
        <v>150</v>
      </c>
      <c r="H10" s="37" t="s">
        <v>80</v>
      </c>
      <c r="I10" s="38" t="s">
        <v>80</v>
      </c>
      <c r="J10" s="37" t="s">
        <v>151</v>
      </c>
      <c r="K10" s="37" t="s">
        <v>152</v>
      </c>
      <c r="L10" s="37" t="s">
        <v>153</v>
      </c>
      <c r="M10" s="37" t="s">
        <v>154</v>
      </c>
      <c r="N10" s="47" t="s">
        <v>155</v>
      </c>
      <c r="O10" s="37" t="s">
        <v>86</v>
      </c>
      <c r="P10" s="37"/>
      <c r="Q10" s="37" t="s">
        <v>156</v>
      </c>
      <c r="R10" s="37"/>
      <c r="S10" s="37" t="s">
        <v>88</v>
      </c>
      <c r="T10" s="37" t="s">
        <v>157</v>
      </c>
      <c r="U10" s="37" t="s">
        <v>90</v>
      </c>
      <c r="V10" s="40">
        <v>46191.0</v>
      </c>
      <c r="W10" s="41" t="s">
        <v>91</v>
      </c>
    </row>
    <row r="11">
      <c r="A11" s="42" t="s">
        <v>158</v>
      </c>
      <c r="B11" s="42" t="s">
        <v>75</v>
      </c>
      <c r="C11" s="42" t="s">
        <v>159</v>
      </c>
      <c r="D11" s="42" t="s">
        <v>77</v>
      </c>
      <c r="E11" s="42"/>
      <c r="F11" s="42" t="s">
        <v>149</v>
      </c>
      <c r="G11" s="42" t="s">
        <v>160</v>
      </c>
      <c r="H11" s="42" t="s">
        <v>104</v>
      </c>
      <c r="I11" s="45" t="s">
        <v>104</v>
      </c>
      <c r="J11" s="42" t="s">
        <v>81</v>
      </c>
      <c r="K11" s="42" t="s">
        <v>82</v>
      </c>
      <c r="L11" s="42" t="s">
        <v>83</v>
      </c>
      <c r="M11" s="42" t="s">
        <v>161</v>
      </c>
      <c r="N11" s="39" t="s">
        <v>134</v>
      </c>
      <c r="O11" s="42" t="s">
        <v>86</v>
      </c>
      <c r="P11" s="42"/>
      <c r="Q11" s="42" t="s">
        <v>162</v>
      </c>
      <c r="R11" s="42"/>
      <c r="S11" s="42" t="s">
        <v>88</v>
      </c>
      <c r="T11" s="42" t="s">
        <v>136</v>
      </c>
      <c r="U11" s="42" t="s">
        <v>90</v>
      </c>
      <c r="V11" s="44">
        <v>46191.0</v>
      </c>
      <c r="W11" s="41" t="s">
        <v>91</v>
      </c>
    </row>
    <row r="12">
      <c r="A12" s="37" t="s">
        <v>163</v>
      </c>
      <c r="B12" s="37" t="s">
        <v>75</v>
      </c>
      <c r="C12" s="37" t="s">
        <v>164</v>
      </c>
      <c r="D12" s="37" t="s">
        <v>77</v>
      </c>
      <c r="E12" s="37"/>
      <c r="F12" s="37" t="s">
        <v>149</v>
      </c>
      <c r="G12" s="37" t="s">
        <v>165</v>
      </c>
      <c r="H12" s="37" t="s">
        <v>104</v>
      </c>
      <c r="I12" s="45" t="s">
        <v>104</v>
      </c>
      <c r="J12" s="37" t="s">
        <v>81</v>
      </c>
      <c r="K12" s="37" t="s">
        <v>82</v>
      </c>
      <c r="L12" s="37" t="s">
        <v>83</v>
      </c>
      <c r="M12" s="37" t="s">
        <v>166</v>
      </c>
      <c r="N12" s="39" t="s">
        <v>134</v>
      </c>
      <c r="O12" s="37" t="s">
        <v>86</v>
      </c>
      <c r="P12" s="37"/>
      <c r="Q12" s="37" t="s">
        <v>167</v>
      </c>
      <c r="R12" s="37"/>
      <c r="S12" s="37" t="s">
        <v>88</v>
      </c>
      <c r="T12" s="37" t="s">
        <v>136</v>
      </c>
      <c r="U12" s="37" t="s">
        <v>90</v>
      </c>
      <c r="V12" s="40">
        <v>46191.0</v>
      </c>
      <c r="W12" s="41" t="s">
        <v>91</v>
      </c>
    </row>
    <row r="13">
      <c r="A13" s="42" t="s">
        <v>168</v>
      </c>
      <c r="B13" s="42" t="s">
        <v>75</v>
      </c>
      <c r="C13" s="42" t="s">
        <v>169</v>
      </c>
      <c r="D13" s="42" t="s">
        <v>77</v>
      </c>
      <c r="E13" s="42"/>
      <c r="F13" s="42" t="s">
        <v>170</v>
      </c>
      <c r="G13" s="42" t="s">
        <v>171</v>
      </c>
      <c r="H13" s="42" t="s">
        <v>80</v>
      </c>
      <c r="I13" s="38" t="s">
        <v>80</v>
      </c>
      <c r="J13" s="42" t="s">
        <v>81</v>
      </c>
      <c r="K13" s="42" t="s">
        <v>82</v>
      </c>
      <c r="L13" s="42" t="s">
        <v>83</v>
      </c>
      <c r="M13" s="42" t="s">
        <v>172</v>
      </c>
      <c r="N13" s="39" t="s">
        <v>134</v>
      </c>
      <c r="O13" s="42" t="s">
        <v>86</v>
      </c>
      <c r="P13" s="42"/>
      <c r="Q13" s="42" t="s">
        <v>173</v>
      </c>
      <c r="R13" s="42"/>
      <c r="S13" s="42" t="s">
        <v>88</v>
      </c>
      <c r="T13" s="42" t="s">
        <v>136</v>
      </c>
      <c r="U13" s="42" t="s">
        <v>90</v>
      </c>
      <c r="V13" s="44">
        <v>46191.0</v>
      </c>
      <c r="W13" s="41" t="s">
        <v>91</v>
      </c>
    </row>
    <row r="14">
      <c r="A14" s="37" t="s">
        <v>174</v>
      </c>
      <c r="B14" s="37" t="s">
        <v>75</v>
      </c>
      <c r="C14" s="37" t="s">
        <v>175</v>
      </c>
      <c r="D14" s="37" t="s">
        <v>77</v>
      </c>
      <c r="E14" s="37"/>
      <c r="F14" s="37" t="s">
        <v>170</v>
      </c>
      <c r="G14" s="37" t="s">
        <v>176</v>
      </c>
      <c r="H14" s="37" t="s">
        <v>80</v>
      </c>
      <c r="I14" s="38" t="s">
        <v>80</v>
      </c>
      <c r="J14" s="37" t="s">
        <v>151</v>
      </c>
      <c r="K14" s="37" t="s">
        <v>152</v>
      </c>
      <c r="L14" s="37" t="s">
        <v>153</v>
      </c>
      <c r="M14" s="37" t="s">
        <v>177</v>
      </c>
      <c r="N14" s="47" t="s">
        <v>155</v>
      </c>
      <c r="O14" s="37" t="s">
        <v>86</v>
      </c>
      <c r="P14" s="37"/>
      <c r="Q14" s="37" t="s">
        <v>178</v>
      </c>
      <c r="R14" s="37"/>
      <c r="S14" s="37" t="s">
        <v>88</v>
      </c>
      <c r="T14" s="37" t="s">
        <v>157</v>
      </c>
      <c r="U14" s="37" t="s">
        <v>90</v>
      </c>
      <c r="V14" s="40">
        <v>46191.0</v>
      </c>
      <c r="W14" s="41" t="s">
        <v>91</v>
      </c>
    </row>
    <row r="15">
      <c r="A15" s="42" t="s">
        <v>179</v>
      </c>
      <c r="B15" s="42" t="s">
        <v>75</v>
      </c>
      <c r="C15" s="42" t="s">
        <v>180</v>
      </c>
      <c r="D15" s="42" t="s">
        <v>77</v>
      </c>
      <c r="E15" s="42"/>
      <c r="F15" s="42" t="s">
        <v>170</v>
      </c>
      <c r="G15" s="42" t="s">
        <v>181</v>
      </c>
      <c r="H15" s="42" t="s">
        <v>104</v>
      </c>
      <c r="I15" s="45" t="s">
        <v>104</v>
      </c>
      <c r="J15" s="42" t="s">
        <v>81</v>
      </c>
      <c r="K15" s="42" t="s">
        <v>82</v>
      </c>
      <c r="L15" s="42" t="s">
        <v>83</v>
      </c>
      <c r="M15" s="42" t="s">
        <v>182</v>
      </c>
      <c r="N15" s="39" t="s">
        <v>134</v>
      </c>
      <c r="O15" s="42" t="s">
        <v>86</v>
      </c>
      <c r="P15" s="42"/>
      <c r="Q15" s="42" t="s">
        <v>183</v>
      </c>
      <c r="R15" s="42"/>
      <c r="S15" s="42" t="s">
        <v>88</v>
      </c>
      <c r="T15" s="42" t="s">
        <v>136</v>
      </c>
      <c r="U15" s="42" t="s">
        <v>90</v>
      </c>
      <c r="V15" s="44">
        <v>46191.0</v>
      </c>
      <c r="W15" s="41" t="s">
        <v>91</v>
      </c>
    </row>
    <row r="16">
      <c r="A16" s="37" t="s">
        <v>184</v>
      </c>
      <c r="B16" s="37" t="s">
        <v>75</v>
      </c>
      <c r="C16" s="37" t="s">
        <v>185</v>
      </c>
      <c r="D16" s="37" t="s">
        <v>77</v>
      </c>
      <c r="E16" s="37"/>
      <c r="F16" s="37" t="s">
        <v>186</v>
      </c>
      <c r="G16" s="37" t="s">
        <v>187</v>
      </c>
      <c r="H16" s="37" t="s">
        <v>80</v>
      </c>
      <c r="I16" s="38" t="s">
        <v>80</v>
      </c>
      <c r="J16" s="37" t="s">
        <v>81</v>
      </c>
      <c r="K16" s="37" t="s">
        <v>82</v>
      </c>
      <c r="L16" s="37" t="s">
        <v>83</v>
      </c>
      <c r="M16" s="37" t="s">
        <v>188</v>
      </c>
      <c r="N16" s="39" t="s">
        <v>134</v>
      </c>
      <c r="O16" s="37" t="s">
        <v>86</v>
      </c>
      <c r="P16" s="37"/>
      <c r="Q16" s="37" t="s">
        <v>189</v>
      </c>
      <c r="R16" s="37"/>
      <c r="S16" s="37" t="s">
        <v>88</v>
      </c>
      <c r="T16" s="37" t="s">
        <v>136</v>
      </c>
      <c r="U16" s="37" t="s">
        <v>90</v>
      </c>
      <c r="V16" s="40">
        <v>46191.0</v>
      </c>
      <c r="W16" s="41" t="s">
        <v>91</v>
      </c>
    </row>
    <row r="17">
      <c r="A17" s="42" t="s">
        <v>190</v>
      </c>
      <c r="B17" s="42" t="s">
        <v>75</v>
      </c>
      <c r="C17" s="42" t="s">
        <v>191</v>
      </c>
      <c r="D17" s="42" t="s">
        <v>77</v>
      </c>
      <c r="E17" s="42"/>
      <c r="F17" s="42" t="s">
        <v>186</v>
      </c>
      <c r="G17" s="42" t="s">
        <v>192</v>
      </c>
      <c r="H17" s="42" t="s">
        <v>104</v>
      </c>
      <c r="I17" s="45" t="s">
        <v>104</v>
      </c>
      <c r="J17" s="42" t="s">
        <v>81</v>
      </c>
      <c r="K17" s="42" t="s">
        <v>82</v>
      </c>
      <c r="L17" s="42" t="s">
        <v>83</v>
      </c>
      <c r="M17" s="42" t="s">
        <v>193</v>
      </c>
      <c r="N17" s="39" t="s">
        <v>134</v>
      </c>
      <c r="O17" s="42" t="s">
        <v>86</v>
      </c>
      <c r="P17" s="42"/>
      <c r="Q17" s="42" t="s">
        <v>194</v>
      </c>
      <c r="R17" s="42"/>
      <c r="S17" s="42" t="s">
        <v>88</v>
      </c>
      <c r="T17" s="42" t="s">
        <v>136</v>
      </c>
      <c r="U17" s="42" t="s">
        <v>90</v>
      </c>
      <c r="V17" s="44">
        <v>46191.0</v>
      </c>
      <c r="W17" s="41" t="s">
        <v>91</v>
      </c>
    </row>
    <row r="18">
      <c r="A18" s="37" t="s">
        <v>195</v>
      </c>
      <c r="B18" s="37" t="s">
        <v>75</v>
      </c>
      <c r="C18" s="37" t="s">
        <v>196</v>
      </c>
      <c r="D18" s="37" t="s">
        <v>77</v>
      </c>
      <c r="E18" s="37"/>
      <c r="F18" s="37" t="s">
        <v>186</v>
      </c>
      <c r="G18" s="37" t="s">
        <v>197</v>
      </c>
      <c r="H18" s="37" t="s">
        <v>198</v>
      </c>
      <c r="I18" s="48" t="s">
        <v>198</v>
      </c>
      <c r="J18" s="37" t="s">
        <v>81</v>
      </c>
      <c r="K18" s="37" t="s">
        <v>115</v>
      </c>
      <c r="L18" s="37" t="s">
        <v>116</v>
      </c>
      <c r="M18" s="37" t="s">
        <v>199</v>
      </c>
      <c r="N18" s="39" t="s">
        <v>134</v>
      </c>
      <c r="O18" s="37" t="s">
        <v>86</v>
      </c>
      <c r="P18" s="37"/>
      <c r="Q18" s="37" t="s">
        <v>200</v>
      </c>
      <c r="R18" s="37"/>
      <c r="S18" s="37" t="s">
        <v>88</v>
      </c>
      <c r="T18" s="37" t="s">
        <v>136</v>
      </c>
      <c r="U18" s="37" t="s">
        <v>90</v>
      </c>
      <c r="V18" s="40">
        <v>46191.0</v>
      </c>
      <c r="W18" s="41" t="s">
        <v>100</v>
      </c>
    </row>
    <row r="19">
      <c r="A19" s="42" t="s">
        <v>201</v>
      </c>
      <c r="B19" s="42" t="s">
        <v>75</v>
      </c>
      <c r="C19" s="42" t="s">
        <v>202</v>
      </c>
      <c r="D19" s="42" t="s">
        <v>77</v>
      </c>
      <c r="E19" s="42"/>
      <c r="F19" s="42" t="s">
        <v>203</v>
      </c>
      <c r="G19" s="42" t="s">
        <v>204</v>
      </c>
      <c r="H19" s="42" t="s">
        <v>80</v>
      </c>
      <c r="I19" s="38" t="s">
        <v>80</v>
      </c>
      <c r="J19" s="42" t="s">
        <v>81</v>
      </c>
      <c r="K19" s="42" t="s">
        <v>152</v>
      </c>
      <c r="L19" s="42" t="s">
        <v>153</v>
      </c>
      <c r="M19" s="42" t="s">
        <v>205</v>
      </c>
      <c r="N19" s="39" t="s">
        <v>134</v>
      </c>
      <c r="O19" s="42" t="s">
        <v>86</v>
      </c>
      <c r="P19" s="42"/>
      <c r="Q19" s="42" t="s">
        <v>206</v>
      </c>
      <c r="R19" s="42"/>
      <c r="S19" s="42" t="s">
        <v>88</v>
      </c>
      <c r="T19" s="42" t="s">
        <v>136</v>
      </c>
      <c r="U19" s="42" t="s">
        <v>90</v>
      </c>
      <c r="V19" s="44">
        <v>46191.0</v>
      </c>
      <c r="W19" s="41" t="s">
        <v>91</v>
      </c>
    </row>
    <row r="20">
      <c r="A20" s="37" t="s">
        <v>207</v>
      </c>
      <c r="B20" s="37" t="s">
        <v>75</v>
      </c>
      <c r="C20" s="37" t="s">
        <v>208</v>
      </c>
      <c r="D20" s="37" t="s">
        <v>77</v>
      </c>
      <c r="E20" s="37"/>
      <c r="F20" s="37" t="s">
        <v>203</v>
      </c>
      <c r="G20" s="37" t="s">
        <v>209</v>
      </c>
      <c r="H20" s="37" t="s">
        <v>104</v>
      </c>
      <c r="I20" s="45" t="s">
        <v>104</v>
      </c>
      <c r="J20" s="37" t="s">
        <v>81</v>
      </c>
      <c r="K20" s="37" t="s">
        <v>82</v>
      </c>
      <c r="L20" s="37" t="s">
        <v>83</v>
      </c>
      <c r="M20" s="37" t="s">
        <v>210</v>
      </c>
      <c r="N20" s="39" t="s">
        <v>134</v>
      </c>
      <c r="O20" s="37" t="s">
        <v>86</v>
      </c>
      <c r="P20" s="37"/>
      <c r="Q20" s="37" t="s">
        <v>211</v>
      </c>
      <c r="R20" s="37"/>
      <c r="S20" s="37" t="s">
        <v>88</v>
      </c>
      <c r="T20" s="37" t="s">
        <v>136</v>
      </c>
      <c r="U20" s="37" t="s">
        <v>90</v>
      </c>
      <c r="V20" s="40">
        <v>46191.0</v>
      </c>
      <c r="W20" s="41" t="s">
        <v>91</v>
      </c>
    </row>
    <row r="21" ht="15.75" customHeight="1">
      <c r="A21" s="42" t="s">
        <v>212</v>
      </c>
      <c r="B21" s="42" t="s">
        <v>75</v>
      </c>
      <c r="C21" s="42" t="s">
        <v>213</v>
      </c>
      <c r="D21" s="42" t="s">
        <v>77</v>
      </c>
      <c r="E21" s="42"/>
      <c r="F21" s="42" t="s">
        <v>203</v>
      </c>
      <c r="G21" s="42" t="s">
        <v>214</v>
      </c>
      <c r="H21" s="42" t="s">
        <v>104</v>
      </c>
      <c r="I21" s="45" t="s">
        <v>104</v>
      </c>
      <c r="J21" s="42" t="s">
        <v>81</v>
      </c>
      <c r="K21" s="42" t="s">
        <v>82</v>
      </c>
      <c r="L21" s="42" t="s">
        <v>83</v>
      </c>
      <c r="M21" s="42" t="s">
        <v>215</v>
      </c>
      <c r="N21" s="39" t="s">
        <v>134</v>
      </c>
      <c r="O21" s="42" t="s">
        <v>86</v>
      </c>
      <c r="P21" s="42"/>
      <c r="Q21" s="42" t="s">
        <v>216</v>
      </c>
      <c r="R21" s="42"/>
      <c r="S21" s="42" t="s">
        <v>88</v>
      </c>
      <c r="T21" s="42" t="s">
        <v>136</v>
      </c>
      <c r="U21" s="42" t="s">
        <v>90</v>
      </c>
      <c r="V21" s="44">
        <v>46191.0</v>
      </c>
      <c r="W21" s="41" t="s">
        <v>91</v>
      </c>
    </row>
    <row r="22" ht="15.75" customHeight="1">
      <c r="A22" s="37" t="s">
        <v>217</v>
      </c>
      <c r="B22" s="37" t="s">
        <v>75</v>
      </c>
      <c r="C22" s="37" t="s">
        <v>218</v>
      </c>
      <c r="D22" s="37" t="s">
        <v>77</v>
      </c>
      <c r="E22" s="37"/>
      <c r="F22" s="37" t="s">
        <v>219</v>
      </c>
      <c r="G22" s="37" t="s">
        <v>220</v>
      </c>
      <c r="H22" s="37" t="s">
        <v>221</v>
      </c>
      <c r="I22" s="49" t="s">
        <v>221</v>
      </c>
      <c r="J22" s="37" t="s">
        <v>81</v>
      </c>
      <c r="K22" s="37" t="s">
        <v>82</v>
      </c>
      <c r="L22" s="37" t="s">
        <v>83</v>
      </c>
      <c r="M22" s="37" t="s">
        <v>222</v>
      </c>
      <c r="N22" s="39" t="s">
        <v>134</v>
      </c>
      <c r="O22" s="37" t="s">
        <v>86</v>
      </c>
      <c r="P22" s="37"/>
      <c r="Q22" s="37" t="s">
        <v>223</v>
      </c>
      <c r="R22" s="37"/>
      <c r="S22" s="37" t="s">
        <v>88</v>
      </c>
      <c r="T22" s="37" t="s">
        <v>136</v>
      </c>
      <c r="U22" s="37" t="s">
        <v>90</v>
      </c>
      <c r="V22" s="40">
        <v>46191.0</v>
      </c>
      <c r="W22" s="41" t="s">
        <v>91</v>
      </c>
    </row>
    <row r="23" ht="15.75" customHeight="1">
      <c r="A23" s="42" t="s">
        <v>224</v>
      </c>
      <c r="B23" s="42" t="s">
        <v>75</v>
      </c>
      <c r="C23" s="42" t="s">
        <v>225</v>
      </c>
      <c r="D23" s="42" t="s">
        <v>77</v>
      </c>
      <c r="E23" s="42"/>
      <c r="F23" s="42" t="s">
        <v>219</v>
      </c>
      <c r="G23" s="42" t="s">
        <v>226</v>
      </c>
      <c r="H23" s="42" t="s">
        <v>221</v>
      </c>
      <c r="I23" s="49" t="s">
        <v>221</v>
      </c>
      <c r="J23" s="42" t="s">
        <v>81</v>
      </c>
      <c r="K23" s="42" t="s">
        <v>82</v>
      </c>
      <c r="L23" s="42" t="s">
        <v>83</v>
      </c>
      <c r="M23" s="42" t="s">
        <v>227</v>
      </c>
      <c r="N23" s="39" t="s">
        <v>134</v>
      </c>
      <c r="O23" s="42" t="s">
        <v>86</v>
      </c>
      <c r="P23" s="42"/>
      <c r="Q23" s="42" t="s">
        <v>228</v>
      </c>
      <c r="R23" s="42"/>
      <c r="S23" s="42" t="s">
        <v>88</v>
      </c>
      <c r="T23" s="42" t="s">
        <v>136</v>
      </c>
      <c r="U23" s="42" t="s">
        <v>90</v>
      </c>
      <c r="V23" s="44">
        <v>46191.0</v>
      </c>
      <c r="W23" s="41" t="s">
        <v>91</v>
      </c>
    </row>
    <row r="24" ht="15.75" customHeight="1">
      <c r="A24" s="37" t="s">
        <v>229</v>
      </c>
      <c r="B24" s="37" t="s">
        <v>75</v>
      </c>
      <c r="C24" s="37" t="s">
        <v>230</v>
      </c>
      <c r="D24" s="37" t="s">
        <v>77</v>
      </c>
      <c r="E24" s="37"/>
      <c r="F24" s="37" t="s">
        <v>219</v>
      </c>
      <c r="G24" s="37" t="s">
        <v>231</v>
      </c>
      <c r="H24" s="37" t="s">
        <v>80</v>
      </c>
      <c r="I24" s="38" t="s">
        <v>80</v>
      </c>
      <c r="J24" s="37" t="s">
        <v>81</v>
      </c>
      <c r="K24" s="37" t="s">
        <v>152</v>
      </c>
      <c r="L24" s="37" t="s">
        <v>153</v>
      </c>
      <c r="M24" s="37" t="s">
        <v>232</v>
      </c>
      <c r="N24" s="39" t="s">
        <v>134</v>
      </c>
      <c r="O24" s="37" t="s">
        <v>86</v>
      </c>
      <c r="P24" s="37"/>
      <c r="Q24" s="37" t="s">
        <v>233</v>
      </c>
      <c r="R24" s="37"/>
      <c r="S24" s="37" t="s">
        <v>88</v>
      </c>
      <c r="T24" s="37" t="s">
        <v>136</v>
      </c>
      <c r="U24" s="37" t="s">
        <v>90</v>
      </c>
      <c r="V24" s="40">
        <v>46191.0</v>
      </c>
      <c r="W24" s="41" t="s">
        <v>91</v>
      </c>
    </row>
    <row r="25" ht="15.75" customHeight="1">
      <c r="A25" s="42" t="s">
        <v>234</v>
      </c>
      <c r="B25" s="42" t="s">
        <v>75</v>
      </c>
      <c r="C25" s="42" t="s">
        <v>235</v>
      </c>
      <c r="D25" s="42" t="s">
        <v>77</v>
      </c>
      <c r="E25" s="42"/>
      <c r="F25" s="42" t="s">
        <v>236</v>
      </c>
      <c r="G25" s="42" t="s">
        <v>237</v>
      </c>
      <c r="H25" s="42" t="s">
        <v>221</v>
      </c>
      <c r="I25" s="49" t="s">
        <v>221</v>
      </c>
      <c r="J25" s="42" t="s">
        <v>81</v>
      </c>
      <c r="K25" s="42" t="s">
        <v>82</v>
      </c>
      <c r="L25" s="42" t="s">
        <v>83</v>
      </c>
      <c r="M25" s="42" t="s">
        <v>238</v>
      </c>
      <c r="N25" s="39" t="s">
        <v>134</v>
      </c>
      <c r="O25" s="42" t="s">
        <v>86</v>
      </c>
      <c r="P25" s="42"/>
      <c r="Q25" s="42" t="s">
        <v>239</v>
      </c>
      <c r="R25" s="42"/>
      <c r="S25" s="42" t="s">
        <v>88</v>
      </c>
      <c r="T25" s="42" t="s">
        <v>136</v>
      </c>
      <c r="U25" s="42" t="s">
        <v>90</v>
      </c>
      <c r="V25" s="44">
        <v>46191.0</v>
      </c>
      <c r="W25" s="41" t="s">
        <v>91</v>
      </c>
    </row>
    <row r="26" ht="15.75" customHeight="1">
      <c r="A26" s="37" t="s">
        <v>240</v>
      </c>
      <c r="B26" s="37" t="s">
        <v>75</v>
      </c>
      <c r="C26" s="37" t="s">
        <v>241</v>
      </c>
      <c r="D26" s="37" t="s">
        <v>77</v>
      </c>
      <c r="E26" s="37"/>
      <c r="F26" s="37" t="s">
        <v>236</v>
      </c>
      <c r="G26" s="37" t="s">
        <v>242</v>
      </c>
      <c r="H26" s="37" t="s">
        <v>221</v>
      </c>
      <c r="I26" s="49" t="s">
        <v>221</v>
      </c>
      <c r="J26" s="37" t="s">
        <v>81</v>
      </c>
      <c r="K26" s="37" t="s">
        <v>82</v>
      </c>
      <c r="L26" s="37" t="s">
        <v>83</v>
      </c>
      <c r="M26" s="37" t="s">
        <v>243</v>
      </c>
      <c r="N26" s="39" t="s">
        <v>134</v>
      </c>
      <c r="O26" s="37" t="s">
        <v>86</v>
      </c>
      <c r="P26" s="37"/>
      <c r="Q26" s="37" t="s">
        <v>244</v>
      </c>
      <c r="R26" s="37"/>
      <c r="S26" s="37" t="s">
        <v>88</v>
      </c>
      <c r="T26" s="37" t="s">
        <v>136</v>
      </c>
      <c r="U26" s="37" t="s">
        <v>90</v>
      </c>
      <c r="V26" s="40">
        <v>46191.0</v>
      </c>
      <c r="W26" s="41" t="s">
        <v>91</v>
      </c>
    </row>
    <row r="27" ht="15.75" customHeight="1">
      <c r="A27" s="42" t="s">
        <v>245</v>
      </c>
      <c r="B27" s="42" t="s">
        <v>75</v>
      </c>
      <c r="C27" s="42" t="s">
        <v>246</v>
      </c>
      <c r="D27" s="42" t="s">
        <v>77</v>
      </c>
      <c r="E27" s="42"/>
      <c r="F27" s="42" t="s">
        <v>247</v>
      </c>
      <c r="G27" s="42" t="s">
        <v>248</v>
      </c>
      <c r="H27" s="42" t="s">
        <v>221</v>
      </c>
      <c r="I27" s="49" t="s">
        <v>221</v>
      </c>
      <c r="J27" s="42" t="s">
        <v>81</v>
      </c>
      <c r="K27" s="42" t="s">
        <v>82</v>
      </c>
      <c r="L27" s="42" t="s">
        <v>83</v>
      </c>
      <c r="M27" s="42" t="s">
        <v>249</v>
      </c>
      <c r="N27" s="39" t="s">
        <v>134</v>
      </c>
      <c r="O27" s="42" t="s">
        <v>86</v>
      </c>
      <c r="P27" s="42"/>
      <c r="Q27" s="42" t="s">
        <v>250</v>
      </c>
      <c r="R27" s="42"/>
      <c r="S27" s="42" t="s">
        <v>88</v>
      </c>
      <c r="T27" s="42" t="s">
        <v>136</v>
      </c>
      <c r="U27" s="42" t="s">
        <v>90</v>
      </c>
      <c r="V27" s="44">
        <v>46191.0</v>
      </c>
      <c r="W27" s="41" t="s">
        <v>91</v>
      </c>
    </row>
    <row r="28" ht="15.75" customHeight="1">
      <c r="A28" s="37" t="s">
        <v>251</v>
      </c>
      <c r="B28" s="37" t="s">
        <v>75</v>
      </c>
      <c r="C28" s="37" t="s">
        <v>252</v>
      </c>
      <c r="D28" s="37" t="s">
        <v>77</v>
      </c>
      <c r="E28" s="37"/>
      <c r="F28" s="37" t="s">
        <v>247</v>
      </c>
      <c r="G28" s="37" t="s">
        <v>253</v>
      </c>
      <c r="H28" s="37" t="s">
        <v>80</v>
      </c>
      <c r="I28" s="38" t="s">
        <v>80</v>
      </c>
      <c r="J28" s="37" t="s">
        <v>81</v>
      </c>
      <c r="K28" s="37" t="s">
        <v>82</v>
      </c>
      <c r="L28" s="37" t="s">
        <v>83</v>
      </c>
      <c r="M28" s="37" t="s">
        <v>254</v>
      </c>
      <c r="N28" s="39" t="s">
        <v>134</v>
      </c>
      <c r="O28" s="37" t="s">
        <v>86</v>
      </c>
      <c r="P28" s="37"/>
      <c r="Q28" s="37" t="s">
        <v>255</v>
      </c>
      <c r="R28" s="37"/>
      <c r="S28" s="37" t="s">
        <v>88</v>
      </c>
      <c r="T28" s="37" t="s">
        <v>136</v>
      </c>
      <c r="U28" s="37" t="s">
        <v>90</v>
      </c>
      <c r="V28" s="40">
        <v>46191.0</v>
      </c>
      <c r="W28" s="41" t="s">
        <v>91</v>
      </c>
    </row>
    <row r="29" ht="15.75" customHeight="1">
      <c r="A29" s="42" t="s">
        <v>256</v>
      </c>
      <c r="B29" s="42" t="s">
        <v>75</v>
      </c>
      <c r="C29" s="42" t="s">
        <v>257</v>
      </c>
      <c r="D29" s="42" t="s">
        <v>77</v>
      </c>
      <c r="E29" s="42"/>
      <c r="F29" s="42" t="s">
        <v>258</v>
      </c>
      <c r="G29" s="42" t="s">
        <v>259</v>
      </c>
      <c r="H29" s="42" t="s">
        <v>80</v>
      </c>
      <c r="I29" s="38" t="s">
        <v>80</v>
      </c>
      <c r="J29" s="42" t="s">
        <v>81</v>
      </c>
      <c r="K29" s="42" t="s">
        <v>82</v>
      </c>
      <c r="L29" s="42" t="s">
        <v>83</v>
      </c>
      <c r="M29" s="42" t="s">
        <v>260</v>
      </c>
      <c r="N29" s="39" t="s">
        <v>134</v>
      </c>
      <c r="O29" s="42" t="s">
        <v>86</v>
      </c>
      <c r="P29" s="42"/>
      <c r="Q29" s="42" t="s">
        <v>261</v>
      </c>
      <c r="R29" s="42"/>
      <c r="S29" s="42" t="s">
        <v>88</v>
      </c>
      <c r="T29" s="42" t="s">
        <v>136</v>
      </c>
      <c r="U29" s="42" t="s">
        <v>90</v>
      </c>
      <c r="V29" s="44">
        <v>46191.0</v>
      </c>
      <c r="W29" s="41" t="s">
        <v>91</v>
      </c>
    </row>
    <row r="30" ht="15.75" customHeight="1">
      <c r="A30" s="37" t="s">
        <v>262</v>
      </c>
      <c r="B30" s="37" t="s">
        <v>75</v>
      </c>
      <c r="C30" s="37" t="s">
        <v>263</v>
      </c>
      <c r="D30" s="37" t="s">
        <v>77</v>
      </c>
      <c r="E30" s="37"/>
      <c r="F30" s="37" t="s">
        <v>258</v>
      </c>
      <c r="G30" s="37" t="s">
        <v>264</v>
      </c>
      <c r="H30" s="37" t="s">
        <v>80</v>
      </c>
      <c r="I30" s="38" t="s">
        <v>80</v>
      </c>
      <c r="J30" s="37" t="s">
        <v>81</v>
      </c>
      <c r="K30" s="37" t="s">
        <v>82</v>
      </c>
      <c r="L30" s="37" t="s">
        <v>83</v>
      </c>
      <c r="M30" s="37" t="s">
        <v>265</v>
      </c>
      <c r="N30" s="39" t="s">
        <v>134</v>
      </c>
      <c r="O30" s="37" t="s">
        <v>86</v>
      </c>
      <c r="P30" s="37"/>
      <c r="Q30" s="37" t="s">
        <v>266</v>
      </c>
      <c r="R30" s="37"/>
      <c r="S30" s="37" t="s">
        <v>88</v>
      </c>
      <c r="T30" s="37" t="s">
        <v>136</v>
      </c>
      <c r="U30" s="37" t="s">
        <v>90</v>
      </c>
      <c r="V30" s="40">
        <v>46191.0</v>
      </c>
      <c r="W30" s="41" t="s">
        <v>91</v>
      </c>
    </row>
    <row r="31" ht="15.75" customHeight="1">
      <c r="A31" s="42" t="s">
        <v>267</v>
      </c>
      <c r="B31" s="42" t="s">
        <v>75</v>
      </c>
      <c r="C31" s="42" t="s">
        <v>268</v>
      </c>
      <c r="D31" s="42" t="s">
        <v>77</v>
      </c>
      <c r="E31" s="42"/>
      <c r="F31" s="42" t="s">
        <v>258</v>
      </c>
      <c r="G31" s="42" t="s">
        <v>269</v>
      </c>
      <c r="H31" s="42" t="s">
        <v>198</v>
      </c>
      <c r="I31" s="48" t="s">
        <v>198</v>
      </c>
      <c r="J31" s="42" t="s">
        <v>81</v>
      </c>
      <c r="K31" s="42" t="s">
        <v>82</v>
      </c>
      <c r="L31" s="42" t="s">
        <v>83</v>
      </c>
      <c r="M31" s="42" t="s">
        <v>270</v>
      </c>
      <c r="N31" s="39" t="s">
        <v>134</v>
      </c>
      <c r="O31" s="42" t="s">
        <v>86</v>
      </c>
      <c r="P31" s="42"/>
      <c r="Q31" s="42" t="s">
        <v>271</v>
      </c>
      <c r="R31" s="42"/>
      <c r="S31" s="42" t="s">
        <v>88</v>
      </c>
      <c r="T31" s="42" t="s">
        <v>136</v>
      </c>
      <c r="U31" s="42" t="s">
        <v>90</v>
      </c>
      <c r="V31" s="44">
        <v>46191.0</v>
      </c>
      <c r="W31" s="41" t="s">
        <v>91</v>
      </c>
    </row>
    <row r="32" ht="15.75" customHeight="1">
      <c r="A32" s="37" t="s">
        <v>272</v>
      </c>
      <c r="B32" s="37" t="s">
        <v>75</v>
      </c>
      <c r="C32" s="37" t="s">
        <v>273</v>
      </c>
      <c r="D32" s="37" t="s">
        <v>77</v>
      </c>
      <c r="E32" s="37"/>
      <c r="F32" s="37" t="s">
        <v>274</v>
      </c>
      <c r="G32" s="37" t="s">
        <v>275</v>
      </c>
      <c r="H32" s="37" t="s">
        <v>221</v>
      </c>
      <c r="I32" s="49" t="s">
        <v>221</v>
      </c>
      <c r="J32" s="37" t="s">
        <v>81</v>
      </c>
      <c r="K32" s="37" t="s">
        <v>82</v>
      </c>
      <c r="L32" s="37" t="s">
        <v>83</v>
      </c>
      <c r="M32" s="37" t="s">
        <v>276</v>
      </c>
      <c r="N32" s="39" t="s">
        <v>134</v>
      </c>
      <c r="O32" s="37" t="s">
        <v>86</v>
      </c>
      <c r="P32" s="37"/>
      <c r="Q32" s="37" t="s">
        <v>277</v>
      </c>
      <c r="R32" s="37"/>
      <c r="S32" s="37" t="s">
        <v>88</v>
      </c>
      <c r="T32" s="37" t="s">
        <v>136</v>
      </c>
      <c r="U32" s="37" t="s">
        <v>90</v>
      </c>
      <c r="V32" s="40">
        <v>46191.0</v>
      </c>
      <c r="W32" s="41" t="s">
        <v>91</v>
      </c>
    </row>
    <row r="33" ht="15.75" customHeight="1">
      <c r="A33" s="42" t="s">
        <v>278</v>
      </c>
      <c r="B33" s="42" t="s">
        <v>75</v>
      </c>
      <c r="C33" s="42" t="s">
        <v>279</v>
      </c>
      <c r="D33" s="42" t="s">
        <v>77</v>
      </c>
      <c r="E33" s="42"/>
      <c r="F33" s="42" t="s">
        <v>274</v>
      </c>
      <c r="G33" s="42" t="s">
        <v>280</v>
      </c>
      <c r="H33" s="42" t="s">
        <v>221</v>
      </c>
      <c r="I33" s="49" t="s">
        <v>221</v>
      </c>
      <c r="J33" s="42" t="s">
        <v>81</v>
      </c>
      <c r="K33" s="42" t="s">
        <v>82</v>
      </c>
      <c r="L33" s="42" t="s">
        <v>83</v>
      </c>
      <c r="M33" s="42" t="s">
        <v>281</v>
      </c>
      <c r="N33" s="39" t="s">
        <v>134</v>
      </c>
      <c r="O33" s="42" t="s">
        <v>86</v>
      </c>
      <c r="P33" s="42"/>
      <c r="Q33" s="42" t="s">
        <v>282</v>
      </c>
      <c r="R33" s="42"/>
      <c r="S33" s="42" t="s">
        <v>88</v>
      </c>
      <c r="T33" s="42" t="s">
        <v>136</v>
      </c>
      <c r="U33" s="42" t="s">
        <v>90</v>
      </c>
      <c r="V33" s="44">
        <v>46191.0</v>
      </c>
      <c r="W33" s="41" t="s">
        <v>91</v>
      </c>
    </row>
    <row r="34" ht="15.75" customHeight="1">
      <c r="A34" s="37" t="s">
        <v>283</v>
      </c>
      <c r="B34" s="37" t="s">
        <v>75</v>
      </c>
      <c r="C34" s="37" t="s">
        <v>284</v>
      </c>
      <c r="D34" s="37" t="s">
        <v>77</v>
      </c>
      <c r="E34" s="37"/>
      <c r="F34" s="37" t="s">
        <v>274</v>
      </c>
      <c r="G34" s="37" t="s">
        <v>285</v>
      </c>
      <c r="H34" s="37" t="s">
        <v>80</v>
      </c>
      <c r="I34" s="38" t="s">
        <v>80</v>
      </c>
      <c r="J34" s="37" t="s">
        <v>81</v>
      </c>
      <c r="K34" s="37" t="s">
        <v>105</v>
      </c>
      <c r="L34" s="37" t="s">
        <v>83</v>
      </c>
      <c r="M34" s="37" t="s">
        <v>286</v>
      </c>
      <c r="N34" s="39" t="s">
        <v>134</v>
      </c>
      <c r="O34" s="37" t="s">
        <v>86</v>
      </c>
      <c r="P34" s="37"/>
      <c r="Q34" s="37" t="s">
        <v>287</v>
      </c>
      <c r="R34" s="37"/>
      <c r="S34" s="37" t="s">
        <v>88</v>
      </c>
      <c r="T34" s="37" t="s">
        <v>136</v>
      </c>
      <c r="U34" s="37" t="s">
        <v>90</v>
      </c>
      <c r="V34" s="40">
        <v>46191.0</v>
      </c>
      <c r="W34" s="41" t="s">
        <v>91</v>
      </c>
    </row>
    <row r="35" ht="15.75" customHeight="1">
      <c r="A35" s="42" t="s">
        <v>288</v>
      </c>
      <c r="B35" s="42" t="s">
        <v>75</v>
      </c>
      <c r="C35" s="42" t="s">
        <v>289</v>
      </c>
      <c r="D35" s="42" t="s">
        <v>77</v>
      </c>
      <c r="E35" s="42"/>
      <c r="F35" s="42" t="s">
        <v>290</v>
      </c>
      <c r="G35" s="42" t="s">
        <v>291</v>
      </c>
      <c r="H35" s="42" t="s">
        <v>221</v>
      </c>
      <c r="I35" s="49" t="s">
        <v>221</v>
      </c>
      <c r="J35" s="42" t="s">
        <v>81</v>
      </c>
      <c r="K35" s="42" t="s">
        <v>82</v>
      </c>
      <c r="L35" s="42" t="s">
        <v>83</v>
      </c>
      <c r="M35" s="42" t="s">
        <v>292</v>
      </c>
      <c r="N35" s="39" t="s">
        <v>134</v>
      </c>
      <c r="O35" s="42" t="s">
        <v>86</v>
      </c>
      <c r="P35" s="42"/>
      <c r="Q35" s="42" t="s">
        <v>293</v>
      </c>
      <c r="R35" s="42"/>
      <c r="S35" s="42" t="s">
        <v>88</v>
      </c>
      <c r="T35" s="42" t="s">
        <v>136</v>
      </c>
      <c r="U35" s="42" t="s">
        <v>90</v>
      </c>
      <c r="V35" s="44">
        <v>46191.0</v>
      </c>
      <c r="W35" s="41" t="s">
        <v>91</v>
      </c>
    </row>
    <row r="36" ht="15.75" customHeight="1">
      <c r="A36" s="37" t="s">
        <v>294</v>
      </c>
      <c r="B36" s="37" t="s">
        <v>75</v>
      </c>
      <c r="C36" s="37" t="s">
        <v>295</v>
      </c>
      <c r="D36" s="37" t="s">
        <v>77</v>
      </c>
      <c r="E36" s="37"/>
      <c r="F36" s="37" t="s">
        <v>290</v>
      </c>
      <c r="G36" s="37" t="s">
        <v>296</v>
      </c>
      <c r="H36" s="37" t="s">
        <v>80</v>
      </c>
      <c r="I36" s="38" t="s">
        <v>80</v>
      </c>
      <c r="J36" s="37" t="s">
        <v>81</v>
      </c>
      <c r="K36" s="37" t="s">
        <v>82</v>
      </c>
      <c r="L36" s="37" t="s">
        <v>83</v>
      </c>
      <c r="M36" s="37" t="s">
        <v>297</v>
      </c>
      <c r="N36" s="39" t="s">
        <v>134</v>
      </c>
      <c r="O36" s="37" t="s">
        <v>86</v>
      </c>
      <c r="P36" s="37"/>
      <c r="Q36" s="37" t="s">
        <v>298</v>
      </c>
      <c r="R36" s="37"/>
      <c r="S36" s="37" t="s">
        <v>88</v>
      </c>
      <c r="T36" s="37" t="s">
        <v>136</v>
      </c>
      <c r="U36" s="37" t="s">
        <v>90</v>
      </c>
      <c r="V36" s="40">
        <v>46191.0</v>
      </c>
      <c r="W36" s="41" t="s">
        <v>91</v>
      </c>
    </row>
    <row r="37" ht="15.75" customHeight="1">
      <c r="A37" s="42" t="s">
        <v>299</v>
      </c>
      <c r="B37" s="42" t="s">
        <v>75</v>
      </c>
      <c r="C37" s="42" t="s">
        <v>300</v>
      </c>
      <c r="D37" s="42" t="s">
        <v>77</v>
      </c>
      <c r="E37" s="42"/>
      <c r="F37" s="42" t="s">
        <v>290</v>
      </c>
      <c r="G37" s="42" t="s">
        <v>301</v>
      </c>
      <c r="H37" s="42" t="s">
        <v>104</v>
      </c>
      <c r="I37" s="45" t="s">
        <v>104</v>
      </c>
      <c r="J37" s="42" t="s">
        <v>81</v>
      </c>
      <c r="K37" s="42" t="s">
        <v>82</v>
      </c>
      <c r="L37" s="42" t="s">
        <v>83</v>
      </c>
      <c r="M37" s="42" t="s">
        <v>302</v>
      </c>
      <c r="N37" s="39" t="s">
        <v>134</v>
      </c>
      <c r="O37" s="42" t="s">
        <v>86</v>
      </c>
      <c r="P37" s="42"/>
      <c r="Q37" s="42" t="s">
        <v>303</v>
      </c>
      <c r="R37" s="42"/>
      <c r="S37" s="42" t="s">
        <v>88</v>
      </c>
      <c r="T37" s="42" t="s">
        <v>136</v>
      </c>
      <c r="U37" s="42" t="s">
        <v>90</v>
      </c>
      <c r="V37" s="44">
        <v>46191.0</v>
      </c>
      <c r="W37" s="41" t="s">
        <v>91</v>
      </c>
    </row>
    <row r="38" ht="15.75" customHeight="1">
      <c r="A38" s="37" t="s">
        <v>304</v>
      </c>
      <c r="B38" s="37" t="s">
        <v>75</v>
      </c>
      <c r="C38" s="37" t="s">
        <v>305</v>
      </c>
      <c r="D38" s="37" t="s">
        <v>77</v>
      </c>
      <c r="E38" s="37"/>
      <c r="F38" s="37" t="s">
        <v>306</v>
      </c>
      <c r="G38" s="37" t="s">
        <v>307</v>
      </c>
      <c r="H38" s="37" t="s">
        <v>221</v>
      </c>
      <c r="I38" s="49" t="s">
        <v>221</v>
      </c>
      <c r="J38" s="37" t="s">
        <v>81</v>
      </c>
      <c r="K38" s="37" t="s">
        <v>82</v>
      </c>
      <c r="L38" s="37" t="s">
        <v>83</v>
      </c>
      <c r="M38" s="37" t="s">
        <v>308</v>
      </c>
      <c r="N38" s="39" t="s">
        <v>134</v>
      </c>
      <c r="O38" s="37" t="s">
        <v>86</v>
      </c>
      <c r="P38" s="37"/>
      <c r="Q38" s="37" t="s">
        <v>309</v>
      </c>
      <c r="R38" s="37"/>
      <c r="S38" s="37" t="s">
        <v>88</v>
      </c>
      <c r="T38" s="37" t="s">
        <v>136</v>
      </c>
      <c r="U38" s="37" t="s">
        <v>90</v>
      </c>
      <c r="V38" s="40">
        <v>46191.0</v>
      </c>
      <c r="W38" s="41" t="s">
        <v>91</v>
      </c>
    </row>
    <row r="39" ht="15.75" customHeight="1">
      <c r="A39" s="42" t="s">
        <v>310</v>
      </c>
      <c r="B39" s="42" t="s">
        <v>75</v>
      </c>
      <c r="C39" s="42" t="s">
        <v>311</v>
      </c>
      <c r="D39" s="42" t="s">
        <v>77</v>
      </c>
      <c r="E39" s="42"/>
      <c r="F39" s="42" t="s">
        <v>306</v>
      </c>
      <c r="G39" s="42" t="s">
        <v>312</v>
      </c>
      <c r="H39" s="42" t="s">
        <v>221</v>
      </c>
      <c r="I39" s="49" t="s">
        <v>221</v>
      </c>
      <c r="J39" s="42" t="s">
        <v>81</v>
      </c>
      <c r="K39" s="42" t="s">
        <v>82</v>
      </c>
      <c r="L39" s="42" t="s">
        <v>83</v>
      </c>
      <c r="M39" s="42" t="s">
        <v>313</v>
      </c>
      <c r="N39" s="39" t="s">
        <v>134</v>
      </c>
      <c r="O39" s="42" t="s">
        <v>86</v>
      </c>
      <c r="P39" s="42"/>
      <c r="Q39" s="42" t="s">
        <v>314</v>
      </c>
      <c r="R39" s="42"/>
      <c r="S39" s="42" t="s">
        <v>88</v>
      </c>
      <c r="T39" s="42" t="s">
        <v>136</v>
      </c>
      <c r="U39" s="42" t="s">
        <v>90</v>
      </c>
      <c r="V39" s="44">
        <v>46191.0</v>
      </c>
      <c r="W39" s="41" t="s">
        <v>91</v>
      </c>
    </row>
    <row r="40" ht="15.75" customHeight="1">
      <c r="A40" s="37" t="s">
        <v>315</v>
      </c>
      <c r="B40" s="37" t="s">
        <v>75</v>
      </c>
      <c r="C40" s="37" t="s">
        <v>316</v>
      </c>
      <c r="D40" s="37" t="s">
        <v>77</v>
      </c>
      <c r="E40" s="37"/>
      <c r="F40" s="37" t="s">
        <v>306</v>
      </c>
      <c r="G40" s="37" t="s">
        <v>317</v>
      </c>
      <c r="H40" s="37" t="s">
        <v>80</v>
      </c>
      <c r="I40" s="38" t="s">
        <v>80</v>
      </c>
      <c r="J40" s="37" t="s">
        <v>81</v>
      </c>
      <c r="K40" s="37" t="s">
        <v>82</v>
      </c>
      <c r="L40" s="37" t="s">
        <v>83</v>
      </c>
      <c r="M40" s="37" t="s">
        <v>318</v>
      </c>
      <c r="N40" s="39" t="s">
        <v>134</v>
      </c>
      <c r="O40" s="37" t="s">
        <v>86</v>
      </c>
      <c r="P40" s="37"/>
      <c r="Q40" s="37" t="s">
        <v>319</v>
      </c>
      <c r="R40" s="37"/>
      <c r="S40" s="37" t="s">
        <v>88</v>
      </c>
      <c r="T40" s="37" t="s">
        <v>136</v>
      </c>
      <c r="U40" s="37" t="s">
        <v>90</v>
      </c>
      <c r="V40" s="40">
        <v>46191.0</v>
      </c>
      <c r="W40" s="41" t="s">
        <v>91</v>
      </c>
    </row>
    <row r="41" ht="15.75" customHeight="1">
      <c r="A41" s="42" t="s">
        <v>320</v>
      </c>
      <c r="B41" s="42" t="s">
        <v>75</v>
      </c>
      <c r="C41" s="42" t="s">
        <v>321</v>
      </c>
      <c r="D41" s="42" t="s">
        <v>77</v>
      </c>
      <c r="E41" s="42"/>
      <c r="F41" s="42" t="s">
        <v>322</v>
      </c>
      <c r="G41" s="42" t="s">
        <v>323</v>
      </c>
      <c r="H41" s="42" t="s">
        <v>221</v>
      </c>
      <c r="I41" s="49" t="s">
        <v>221</v>
      </c>
      <c r="J41" s="42" t="s">
        <v>81</v>
      </c>
      <c r="K41" s="42" t="s">
        <v>82</v>
      </c>
      <c r="L41" s="42" t="s">
        <v>83</v>
      </c>
      <c r="M41" s="42" t="s">
        <v>324</v>
      </c>
      <c r="N41" s="39" t="s">
        <v>134</v>
      </c>
      <c r="O41" s="42" t="s">
        <v>86</v>
      </c>
      <c r="P41" s="42"/>
      <c r="Q41" s="42" t="s">
        <v>325</v>
      </c>
      <c r="R41" s="42"/>
      <c r="S41" s="42" t="s">
        <v>88</v>
      </c>
      <c r="T41" s="42" t="s">
        <v>136</v>
      </c>
      <c r="U41" s="42" t="s">
        <v>90</v>
      </c>
      <c r="V41" s="44">
        <v>46191.0</v>
      </c>
      <c r="W41" s="41" t="s">
        <v>91</v>
      </c>
    </row>
    <row r="42" ht="15.75" customHeight="1">
      <c r="A42" s="37" t="s">
        <v>326</v>
      </c>
      <c r="B42" s="37" t="s">
        <v>75</v>
      </c>
      <c r="C42" s="37" t="s">
        <v>327</v>
      </c>
      <c r="D42" s="37" t="s">
        <v>77</v>
      </c>
      <c r="E42" s="37"/>
      <c r="F42" s="37" t="s">
        <v>322</v>
      </c>
      <c r="G42" s="37" t="s">
        <v>328</v>
      </c>
      <c r="H42" s="37" t="s">
        <v>221</v>
      </c>
      <c r="I42" s="49" t="s">
        <v>221</v>
      </c>
      <c r="J42" s="37" t="s">
        <v>81</v>
      </c>
      <c r="K42" s="37" t="s">
        <v>82</v>
      </c>
      <c r="L42" s="37" t="s">
        <v>83</v>
      </c>
      <c r="M42" s="37" t="s">
        <v>329</v>
      </c>
      <c r="N42" s="39" t="s">
        <v>134</v>
      </c>
      <c r="O42" s="37" t="s">
        <v>86</v>
      </c>
      <c r="P42" s="37"/>
      <c r="Q42" s="37" t="s">
        <v>330</v>
      </c>
      <c r="R42" s="37"/>
      <c r="S42" s="37" t="s">
        <v>88</v>
      </c>
      <c r="T42" s="37" t="s">
        <v>136</v>
      </c>
      <c r="U42" s="37" t="s">
        <v>90</v>
      </c>
      <c r="V42" s="40">
        <v>46191.0</v>
      </c>
      <c r="W42" s="41" t="s">
        <v>91</v>
      </c>
    </row>
    <row r="43" ht="15.75" customHeight="1">
      <c r="A43" s="42" t="s">
        <v>331</v>
      </c>
      <c r="B43" s="42" t="s">
        <v>75</v>
      </c>
      <c r="C43" s="42" t="s">
        <v>332</v>
      </c>
      <c r="D43" s="42" t="s">
        <v>77</v>
      </c>
      <c r="E43" s="42"/>
      <c r="F43" s="42" t="s">
        <v>322</v>
      </c>
      <c r="G43" s="42" t="s">
        <v>333</v>
      </c>
      <c r="H43" s="42" t="s">
        <v>80</v>
      </c>
      <c r="I43" s="38" t="s">
        <v>80</v>
      </c>
      <c r="J43" s="42" t="s">
        <v>81</v>
      </c>
      <c r="K43" s="42" t="s">
        <v>152</v>
      </c>
      <c r="L43" s="42" t="s">
        <v>153</v>
      </c>
      <c r="M43" s="42" t="s">
        <v>334</v>
      </c>
      <c r="N43" s="39" t="s">
        <v>134</v>
      </c>
      <c r="O43" s="42" t="s">
        <v>86</v>
      </c>
      <c r="P43" s="42"/>
      <c r="Q43" s="42" t="s">
        <v>335</v>
      </c>
      <c r="R43" s="42"/>
      <c r="S43" s="42" t="s">
        <v>88</v>
      </c>
      <c r="T43" s="42" t="s">
        <v>136</v>
      </c>
      <c r="U43" s="42" t="s">
        <v>90</v>
      </c>
      <c r="V43" s="44">
        <v>46191.0</v>
      </c>
      <c r="W43" s="41" t="s">
        <v>91</v>
      </c>
    </row>
    <row r="44" ht="15.75" customHeight="1">
      <c r="A44" s="37" t="s">
        <v>336</v>
      </c>
      <c r="B44" s="37" t="s">
        <v>75</v>
      </c>
      <c r="C44" s="37" t="s">
        <v>337</v>
      </c>
      <c r="D44" s="37" t="s">
        <v>77</v>
      </c>
      <c r="E44" s="37"/>
      <c r="F44" s="37" t="s">
        <v>338</v>
      </c>
      <c r="G44" s="37" t="s">
        <v>339</v>
      </c>
      <c r="H44" s="37" t="s">
        <v>80</v>
      </c>
      <c r="I44" s="38" t="s">
        <v>80</v>
      </c>
      <c r="J44" s="37" t="s">
        <v>81</v>
      </c>
      <c r="K44" s="37" t="s">
        <v>152</v>
      </c>
      <c r="L44" s="37" t="s">
        <v>153</v>
      </c>
      <c r="M44" s="37" t="s">
        <v>340</v>
      </c>
      <c r="N44" s="39" t="s">
        <v>134</v>
      </c>
      <c r="O44" s="37" t="s">
        <v>86</v>
      </c>
      <c r="P44" s="37"/>
      <c r="Q44" s="37" t="s">
        <v>341</v>
      </c>
      <c r="R44" s="37"/>
      <c r="S44" s="37" t="s">
        <v>88</v>
      </c>
      <c r="T44" s="37" t="s">
        <v>136</v>
      </c>
      <c r="U44" s="37" t="s">
        <v>90</v>
      </c>
      <c r="V44" s="40">
        <v>46191.0</v>
      </c>
      <c r="W44" s="41" t="s">
        <v>91</v>
      </c>
    </row>
    <row r="45" ht="15.75" customHeight="1">
      <c r="A45" s="42" t="s">
        <v>342</v>
      </c>
      <c r="B45" s="42" t="s">
        <v>75</v>
      </c>
      <c r="C45" s="42" t="s">
        <v>343</v>
      </c>
      <c r="D45" s="42" t="s">
        <v>77</v>
      </c>
      <c r="E45" s="42"/>
      <c r="F45" s="42" t="s">
        <v>338</v>
      </c>
      <c r="G45" s="42" t="s">
        <v>344</v>
      </c>
      <c r="H45" s="42" t="s">
        <v>80</v>
      </c>
      <c r="I45" s="38" t="s">
        <v>80</v>
      </c>
      <c r="J45" s="42" t="s">
        <v>81</v>
      </c>
      <c r="K45" s="42" t="s">
        <v>82</v>
      </c>
      <c r="L45" s="42" t="s">
        <v>83</v>
      </c>
      <c r="M45" s="42" t="s">
        <v>345</v>
      </c>
      <c r="N45" s="39" t="s">
        <v>134</v>
      </c>
      <c r="O45" s="42" t="s">
        <v>86</v>
      </c>
      <c r="P45" s="42"/>
      <c r="Q45" s="42" t="s">
        <v>346</v>
      </c>
      <c r="R45" s="42"/>
      <c r="S45" s="42" t="s">
        <v>88</v>
      </c>
      <c r="T45" s="42" t="s">
        <v>136</v>
      </c>
      <c r="U45" s="42" t="s">
        <v>90</v>
      </c>
      <c r="V45" s="44">
        <v>46191.0</v>
      </c>
      <c r="W45" s="41" t="s">
        <v>91</v>
      </c>
    </row>
    <row r="46" ht="15.75" customHeight="1">
      <c r="A46" s="37" t="s">
        <v>347</v>
      </c>
      <c r="B46" s="37" t="s">
        <v>75</v>
      </c>
      <c r="C46" s="37" t="s">
        <v>348</v>
      </c>
      <c r="D46" s="37" t="s">
        <v>77</v>
      </c>
      <c r="E46" s="37"/>
      <c r="F46" s="37" t="s">
        <v>349</v>
      </c>
      <c r="G46" s="37" t="s">
        <v>350</v>
      </c>
      <c r="H46" s="37" t="s">
        <v>221</v>
      </c>
      <c r="I46" s="49" t="s">
        <v>221</v>
      </c>
      <c r="J46" s="37" t="s">
        <v>81</v>
      </c>
      <c r="K46" s="37" t="s">
        <v>82</v>
      </c>
      <c r="L46" s="37" t="s">
        <v>83</v>
      </c>
      <c r="M46" s="37" t="s">
        <v>351</v>
      </c>
      <c r="N46" s="39" t="s">
        <v>134</v>
      </c>
      <c r="O46" s="37" t="s">
        <v>86</v>
      </c>
      <c r="P46" s="37"/>
      <c r="Q46" s="37" t="s">
        <v>352</v>
      </c>
      <c r="R46" s="37"/>
      <c r="S46" s="37" t="s">
        <v>88</v>
      </c>
      <c r="T46" s="37" t="s">
        <v>136</v>
      </c>
      <c r="U46" s="37" t="s">
        <v>90</v>
      </c>
      <c r="V46" s="40">
        <v>46191.0</v>
      </c>
      <c r="W46" s="41" t="s">
        <v>91</v>
      </c>
    </row>
    <row r="47" ht="15.75" customHeight="1">
      <c r="A47" s="42" t="s">
        <v>353</v>
      </c>
      <c r="B47" s="42" t="s">
        <v>75</v>
      </c>
      <c r="C47" s="42" t="s">
        <v>354</v>
      </c>
      <c r="D47" s="42" t="s">
        <v>77</v>
      </c>
      <c r="E47" s="42"/>
      <c r="F47" s="42" t="s">
        <v>349</v>
      </c>
      <c r="G47" s="42" t="s">
        <v>355</v>
      </c>
      <c r="H47" s="42" t="s">
        <v>80</v>
      </c>
      <c r="I47" s="38" t="s">
        <v>80</v>
      </c>
      <c r="J47" s="42" t="s">
        <v>81</v>
      </c>
      <c r="K47" s="42" t="s">
        <v>105</v>
      </c>
      <c r="L47" s="42" t="s">
        <v>83</v>
      </c>
      <c r="M47" s="42" t="s">
        <v>356</v>
      </c>
      <c r="N47" s="39" t="s">
        <v>134</v>
      </c>
      <c r="O47" s="42" t="s">
        <v>86</v>
      </c>
      <c r="P47" s="42"/>
      <c r="Q47" s="42" t="s">
        <v>357</v>
      </c>
      <c r="R47" s="42"/>
      <c r="S47" s="42" t="s">
        <v>88</v>
      </c>
      <c r="T47" s="42" t="s">
        <v>136</v>
      </c>
      <c r="U47" s="42" t="s">
        <v>90</v>
      </c>
      <c r="V47" s="44">
        <v>46191.0</v>
      </c>
      <c r="W47" s="41" t="s">
        <v>91</v>
      </c>
    </row>
    <row r="48" ht="15.75" customHeight="1">
      <c r="A48" s="37" t="s">
        <v>358</v>
      </c>
      <c r="B48" s="37" t="s">
        <v>75</v>
      </c>
      <c r="C48" s="37" t="s">
        <v>359</v>
      </c>
      <c r="D48" s="37" t="s">
        <v>77</v>
      </c>
      <c r="E48" s="37"/>
      <c r="F48" s="37" t="s">
        <v>349</v>
      </c>
      <c r="G48" s="37" t="s">
        <v>360</v>
      </c>
      <c r="H48" s="37" t="s">
        <v>80</v>
      </c>
      <c r="I48" s="38" t="s">
        <v>80</v>
      </c>
      <c r="J48" s="37" t="s">
        <v>81</v>
      </c>
      <c r="K48" s="37" t="s">
        <v>82</v>
      </c>
      <c r="L48" s="37" t="s">
        <v>83</v>
      </c>
      <c r="M48" s="37" t="s">
        <v>361</v>
      </c>
      <c r="N48" s="39" t="s">
        <v>134</v>
      </c>
      <c r="O48" s="37" t="s">
        <v>86</v>
      </c>
      <c r="P48" s="37"/>
      <c r="Q48" s="37" t="s">
        <v>362</v>
      </c>
      <c r="R48" s="37"/>
      <c r="S48" s="37" t="s">
        <v>88</v>
      </c>
      <c r="T48" s="37" t="s">
        <v>136</v>
      </c>
      <c r="U48" s="37" t="s">
        <v>90</v>
      </c>
      <c r="V48" s="40">
        <v>46191.0</v>
      </c>
      <c r="W48" s="41" t="s">
        <v>91</v>
      </c>
    </row>
    <row r="49" ht="15.75" customHeight="1">
      <c r="A49" s="42" t="s">
        <v>363</v>
      </c>
      <c r="B49" s="42" t="s">
        <v>75</v>
      </c>
      <c r="C49" s="42" t="s">
        <v>364</v>
      </c>
      <c r="D49" s="42" t="s">
        <v>77</v>
      </c>
      <c r="E49" s="42"/>
      <c r="F49" s="42" t="s">
        <v>365</v>
      </c>
      <c r="G49" s="42" t="s">
        <v>366</v>
      </c>
      <c r="H49" s="42" t="s">
        <v>80</v>
      </c>
      <c r="I49" s="38" t="s">
        <v>80</v>
      </c>
      <c r="J49" s="42" t="s">
        <v>81</v>
      </c>
      <c r="K49" s="42" t="s">
        <v>152</v>
      </c>
      <c r="L49" s="42" t="s">
        <v>153</v>
      </c>
      <c r="M49" s="42" t="s">
        <v>367</v>
      </c>
      <c r="N49" s="39" t="s">
        <v>134</v>
      </c>
      <c r="O49" s="42" t="s">
        <v>86</v>
      </c>
      <c r="P49" s="42"/>
      <c r="Q49" s="42" t="s">
        <v>368</v>
      </c>
      <c r="R49" s="42"/>
      <c r="S49" s="42" t="s">
        <v>88</v>
      </c>
      <c r="T49" s="42" t="s">
        <v>136</v>
      </c>
      <c r="U49" s="42" t="s">
        <v>369</v>
      </c>
      <c r="V49" s="44">
        <v>46191.0</v>
      </c>
      <c r="W49" s="41" t="s">
        <v>91</v>
      </c>
    </row>
    <row r="50" ht="15.75" customHeight="1">
      <c r="A50" s="37" t="s">
        <v>370</v>
      </c>
      <c r="B50" s="37" t="s">
        <v>75</v>
      </c>
      <c r="C50" s="37" t="s">
        <v>371</v>
      </c>
      <c r="D50" s="37" t="s">
        <v>77</v>
      </c>
      <c r="E50" s="37"/>
      <c r="F50" s="37" t="s">
        <v>365</v>
      </c>
      <c r="G50" s="37" t="s">
        <v>372</v>
      </c>
      <c r="H50" s="37" t="s">
        <v>221</v>
      </c>
      <c r="I50" s="49" t="s">
        <v>221</v>
      </c>
      <c r="J50" s="37" t="s">
        <v>81</v>
      </c>
      <c r="K50" s="37" t="s">
        <v>105</v>
      </c>
      <c r="L50" s="37" t="s">
        <v>83</v>
      </c>
      <c r="M50" s="37" t="s">
        <v>373</v>
      </c>
      <c r="N50" s="39" t="s">
        <v>134</v>
      </c>
      <c r="O50" s="37" t="s">
        <v>86</v>
      </c>
      <c r="P50" s="37"/>
      <c r="Q50" s="37" t="s">
        <v>374</v>
      </c>
      <c r="R50" s="37"/>
      <c r="S50" s="37" t="s">
        <v>88</v>
      </c>
      <c r="T50" s="37" t="s">
        <v>136</v>
      </c>
      <c r="U50" s="37" t="s">
        <v>369</v>
      </c>
      <c r="V50" s="40">
        <v>46191.0</v>
      </c>
      <c r="W50" s="41" t="s">
        <v>91</v>
      </c>
    </row>
    <row r="51" ht="15.75" customHeight="1">
      <c r="A51" s="42" t="s">
        <v>375</v>
      </c>
      <c r="B51" s="42" t="s">
        <v>75</v>
      </c>
      <c r="C51" s="42" t="s">
        <v>376</v>
      </c>
      <c r="D51" s="42" t="s">
        <v>77</v>
      </c>
      <c r="E51" s="42"/>
      <c r="F51" s="42" t="s">
        <v>377</v>
      </c>
      <c r="G51" s="42" t="s">
        <v>378</v>
      </c>
      <c r="H51" s="42" t="s">
        <v>221</v>
      </c>
      <c r="I51" s="49" t="s">
        <v>221</v>
      </c>
      <c r="J51" s="42" t="s">
        <v>81</v>
      </c>
      <c r="K51" s="42" t="s">
        <v>115</v>
      </c>
      <c r="L51" s="42" t="s">
        <v>116</v>
      </c>
      <c r="M51" s="42" t="s">
        <v>379</v>
      </c>
      <c r="N51" s="39" t="s">
        <v>134</v>
      </c>
      <c r="O51" s="42" t="s">
        <v>86</v>
      </c>
      <c r="P51" s="42"/>
      <c r="Q51" s="42" t="s">
        <v>380</v>
      </c>
      <c r="R51" s="42"/>
      <c r="S51" s="42" t="s">
        <v>88</v>
      </c>
      <c r="T51" s="42" t="s">
        <v>136</v>
      </c>
      <c r="U51" s="42" t="s">
        <v>369</v>
      </c>
      <c r="V51" s="44">
        <v>46191.0</v>
      </c>
      <c r="W51" s="41" t="s">
        <v>100</v>
      </c>
    </row>
    <row r="52" ht="15.75" customHeight="1">
      <c r="A52" s="37" t="s">
        <v>381</v>
      </c>
      <c r="B52" s="37" t="s">
        <v>75</v>
      </c>
      <c r="C52" s="37" t="s">
        <v>382</v>
      </c>
      <c r="D52" s="37" t="s">
        <v>77</v>
      </c>
      <c r="E52" s="37"/>
      <c r="F52" s="37" t="s">
        <v>383</v>
      </c>
      <c r="G52" s="37" t="s">
        <v>384</v>
      </c>
      <c r="H52" s="37" t="s">
        <v>80</v>
      </c>
      <c r="I52" s="38" t="s">
        <v>80</v>
      </c>
      <c r="J52" s="37" t="s">
        <v>81</v>
      </c>
      <c r="K52" s="37" t="s">
        <v>82</v>
      </c>
      <c r="L52" s="37" t="s">
        <v>83</v>
      </c>
      <c r="M52" s="37" t="s">
        <v>385</v>
      </c>
      <c r="N52" s="39" t="s">
        <v>134</v>
      </c>
      <c r="O52" s="37" t="s">
        <v>86</v>
      </c>
      <c r="P52" s="37"/>
      <c r="Q52" s="37" t="s">
        <v>386</v>
      </c>
      <c r="R52" s="37"/>
      <c r="S52" s="37" t="s">
        <v>88</v>
      </c>
      <c r="T52" s="37" t="s">
        <v>136</v>
      </c>
      <c r="U52" s="37" t="s">
        <v>369</v>
      </c>
      <c r="V52" s="40">
        <v>46191.0</v>
      </c>
      <c r="W52" s="41" t="s">
        <v>91</v>
      </c>
    </row>
    <row r="53" ht="15.75" customHeight="1">
      <c r="A53" s="42" t="s">
        <v>387</v>
      </c>
      <c r="B53" s="42" t="s">
        <v>75</v>
      </c>
      <c r="C53" s="42" t="s">
        <v>388</v>
      </c>
      <c r="D53" s="42" t="s">
        <v>77</v>
      </c>
      <c r="E53" s="42"/>
      <c r="F53" s="42" t="s">
        <v>389</v>
      </c>
      <c r="G53" s="42" t="s">
        <v>390</v>
      </c>
      <c r="H53" s="42" t="s">
        <v>221</v>
      </c>
      <c r="I53" s="49" t="s">
        <v>221</v>
      </c>
      <c r="J53" s="42" t="s">
        <v>81</v>
      </c>
      <c r="K53" s="42" t="s">
        <v>105</v>
      </c>
      <c r="L53" s="42" t="s">
        <v>83</v>
      </c>
      <c r="M53" s="42" t="s">
        <v>391</v>
      </c>
      <c r="N53" s="39" t="s">
        <v>134</v>
      </c>
      <c r="O53" s="42" t="s">
        <v>86</v>
      </c>
      <c r="P53" s="42"/>
      <c r="Q53" s="42" t="s">
        <v>392</v>
      </c>
      <c r="R53" s="42"/>
      <c r="S53" s="42" t="s">
        <v>88</v>
      </c>
      <c r="T53" s="42" t="s">
        <v>136</v>
      </c>
      <c r="U53" s="42" t="s">
        <v>369</v>
      </c>
      <c r="V53" s="44">
        <v>46191.0</v>
      </c>
      <c r="W53" s="41" t="s">
        <v>91</v>
      </c>
    </row>
    <row r="54" ht="15.75" customHeight="1">
      <c r="A54" s="37" t="s">
        <v>393</v>
      </c>
      <c r="B54" s="37" t="s">
        <v>75</v>
      </c>
      <c r="C54" s="37" t="s">
        <v>394</v>
      </c>
      <c r="D54" s="37" t="s">
        <v>77</v>
      </c>
      <c r="E54" s="37"/>
      <c r="F54" s="37" t="s">
        <v>389</v>
      </c>
      <c r="G54" s="37" t="s">
        <v>395</v>
      </c>
      <c r="H54" s="37" t="s">
        <v>221</v>
      </c>
      <c r="I54" s="49" t="s">
        <v>221</v>
      </c>
      <c r="J54" s="37" t="s">
        <v>81</v>
      </c>
      <c r="K54" s="37" t="s">
        <v>82</v>
      </c>
      <c r="L54" s="37" t="s">
        <v>83</v>
      </c>
      <c r="M54" s="37" t="s">
        <v>396</v>
      </c>
      <c r="N54" s="39" t="s">
        <v>134</v>
      </c>
      <c r="O54" s="37" t="s">
        <v>86</v>
      </c>
      <c r="P54" s="37"/>
      <c r="Q54" s="37" t="s">
        <v>392</v>
      </c>
      <c r="R54" s="37"/>
      <c r="S54" s="37" t="s">
        <v>88</v>
      </c>
      <c r="T54" s="37" t="s">
        <v>136</v>
      </c>
      <c r="U54" s="37" t="s">
        <v>369</v>
      </c>
      <c r="V54" s="40">
        <v>46191.0</v>
      </c>
      <c r="W54" s="41" t="s">
        <v>91</v>
      </c>
    </row>
    <row r="55" ht="15.75" customHeight="1">
      <c r="A55" s="42" t="s">
        <v>397</v>
      </c>
      <c r="B55" s="42" t="s">
        <v>75</v>
      </c>
      <c r="C55" s="42" t="s">
        <v>398</v>
      </c>
      <c r="D55" s="42" t="s">
        <v>77</v>
      </c>
      <c r="E55" s="42"/>
      <c r="F55" s="42" t="s">
        <v>399</v>
      </c>
      <c r="G55" s="42" t="s">
        <v>400</v>
      </c>
      <c r="H55" s="42" t="s">
        <v>104</v>
      </c>
      <c r="I55" s="45" t="s">
        <v>104</v>
      </c>
      <c r="J55" s="42" t="s">
        <v>81</v>
      </c>
      <c r="K55" s="42" t="s">
        <v>82</v>
      </c>
      <c r="L55" s="42" t="s">
        <v>83</v>
      </c>
      <c r="M55" s="42" t="s">
        <v>401</v>
      </c>
      <c r="N55" s="39" t="s">
        <v>134</v>
      </c>
      <c r="O55" s="42" t="s">
        <v>86</v>
      </c>
      <c r="P55" s="42"/>
      <c r="Q55" s="42" t="s">
        <v>402</v>
      </c>
      <c r="R55" s="42"/>
      <c r="S55" s="42" t="s">
        <v>88</v>
      </c>
      <c r="T55" s="42" t="s">
        <v>136</v>
      </c>
      <c r="U55" s="42" t="s">
        <v>369</v>
      </c>
      <c r="V55" s="44">
        <v>46191.0</v>
      </c>
      <c r="W55" s="41" t="s">
        <v>91</v>
      </c>
    </row>
    <row r="56" ht="15.75" customHeight="1">
      <c r="A56" s="37" t="s">
        <v>403</v>
      </c>
      <c r="B56" s="37" t="s">
        <v>75</v>
      </c>
      <c r="C56" s="37" t="s">
        <v>404</v>
      </c>
      <c r="D56" s="37" t="s">
        <v>77</v>
      </c>
      <c r="E56" s="37"/>
      <c r="F56" s="37" t="s">
        <v>405</v>
      </c>
      <c r="G56" s="37" t="s">
        <v>406</v>
      </c>
      <c r="H56" s="37" t="s">
        <v>221</v>
      </c>
      <c r="I56" s="49" t="s">
        <v>221</v>
      </c>
      <c r="J56" s="37" t="s">
        <v>81</v>
      </c>
      <c r="K56" s="37" t="s">
        <v>82</v>
      </c>
      <c r="L56" s="37" t="s">
        <v>83</v>
      </c>
      <c r="M56" s="37" t="s">
        <v>407</v>
      </c>
      <c r="N56" s="39" t="s">
        <v>134</v>
      </c>
      <c r="O56" s="37" t="s">
        <v>86</v>
      </c>
      <c r="P56" s="37"/>
      <c r="Q56" s="37" t="s">
        <v>408</v>
      </c>
      <c r="R56" s="37"/>
      <c r="S56" s="37" t="s">
        <v>88</v>
      </c>
      <c r="T56" s="37" t="s">
        <v>136</v>
      </c>
      <c r="U56" s="37" t="s">
        <v>369</v>
      </c>
      <c r="V56" s="40">
        <v>46191.0</v>
      </c>
      <c r="W56" s="41" t="s">
        <v>91</v>
      </c>
    </row>
    <row r="57" ht="15.75" customHeight="1">
      <c r="A57" s="42" t="s">
        <v>409</v>
      </c>
      <c r="B57" s="42" t="s">
        <v>75</v>
      </c>
      <c r="C57" s="42" t="s">
        <v>410</v>
      </c>
      <c r="D57" s="42" t="s">
        <v>77</v>
      </c>
      <c r="E57" s="42"/>
      <c r="F57" s="42" t="s">
        <v>405</v>
      </c>
      <c r="G57" s="42" t="s">
        <v>411</v>
      </c>
      <c r="H57" s="42" t="s">
        <v>80</v>
      </c>
      <c r="I57" s="38" t="s">
        <v>80</v>
      </c>
      <c r="J57" s="42" t="s">
        <v>81</v>
      </c>
      <c r="K57" s="42" t="s">
        <v>82</v>
      </c>
      <c r="L57" s="42" t="s">
        <v>83</v>
      </c>
      <c r="M57" s="42" t="s">
        <v>412</v>
      </c>
      <c r="N57" s="39" t="s">
        <v>134</v>
      </c>
      <c r="O57" s="42" t="s">
        <v>86</v>
      </c>
      <c r="P57" s="42"/>
      <c r="Q57" s="42" t="s">
        <v>413</v>
      </c>
      <c r="R57" s="42"/>
      <c r="S57" s="42" t="s">
        <v>88</v>
      </c>
      <c r="T57" s="42" t="s">
        <v>136</v>
      </c>
      <c r="U57" s="42" t="s">
        <v>369</v>
      </c>
      <c r="V57" s="44">
        <v>46191.0</v>
      </c>
      <c r="W57" s="41" t="s">
        <v>91</v>
      </c>
    </row>
    <row r="58" ht="15.75" customHeight="1">
      <c r="A58" s="37" t="s">
        <v>414</v>
      </c>
      <c r="B58" s="37" t="s">
        <v>75</v>
      </c>
      <c r="C58" s="37" t="s">
        <v>415</v>
      </c>
      <c r="D58" s="37" t="s">
        <v>77</v>
      </c>
      <c r="E58" s="37"/>
      <c r="F58" s="37" t="s">
        <v>416</v>
      </c>
      <c r="G58" s="37" t="s">
        <v>417</v>
      </c>
      <c r="H58" s="37" t="s">
        <v>221</v>
      </c>
      <c r="I58" s="49" t="s">
        <v>221</v>
      </c>
      <c r="J58" s="37" t="s">
        <v>81</v>
      </c>
      <c r="K58" s="37" t="s">
        <v>105</v>
      </c>
      <c r="L58" s="37" t="s">
        <v>83</v>
      </c>
      <c r="M58" s="37" t="s">
        <v>418</v>
      </c>
      <c r="N58" s="39" t="s">
        <v>134</v>
      </c>
      <c r="O58" s="37" t="s">
        <v>86</v>
      </c>
      <c r="P58" s="37"/>
      <c r="Q58" s="37" t="s">
        <v>419</v>
      </c>
      <c r="R58" s="37"/>
      <c r="S58" s="37" t="s">
        <v>88</v>
      </c>
      <c r="T58" s="37" t="s">
        <v>136</v>
      </c>
      <c r="U58" s="37" t="s">
        <v>369</v>
      </c>
      <c r="V58" s="40">
        <v>46191.0</v>
      </c>
      <c r="W58" s="41" t="s">
        <v>91</v>
      </c>
    </row>
    <row r="59" ht="15.75" customHeight="1">
      <c r="A59" s="42" t="s">
        <v>420</v>
      </c>
      <c r="B59" s="42" t="s">
        <v>75</v>
      </c>
      <c r="C59" s="42" t="s">
        <v>421</v>
      </c>
      <c r="D59" s="42" t="s">
        <v>77</v>
      </c>
      <c r="E59" s="42"/>
      <c r="F59" s="42" t="s">
        <v>416</v>
      </c>
      <c r="G59" s="42" t="s">
        <v>422</v>
      </c>
      <c r="H59" s="42" t="s">
        <v>80</v>
      </c>
      <c r="I59" s="38" t="s">
        <v>80</v>
      </c>
      <c r="J59" s="42" t="s">
        <v>81</v>
      </c>
      <c r="K59" s="42" t="s">
        <v>82</v>
      </c>
      <c r="L59" s="42" t="s">
        <v>83</v>
      </c>
      <c r="M59" s="42" t="s">
        <v>423</v>
      </c>
      <c r="N59" s="39" t="s">
        <v>134</v>
      </c>
      <c r="O59" s="42" t="s">
        <v>86</v>
      </c>
      <c r="P59" s="42"/>
      <c r="Q59" s="42" t="s">
        <v>424</v>
      </c>
      <c r="R59" s="42"/>
      <c r="S59" s="42" t="s">
        <v>88</v>
      </c>
      <c r="T59" s="42" t="s">
        <v>136</v>
      </c>
      <c r="U59" s="42" t="s">
        <v>369</v>
      </c>
      <c r="V59" s="44">
        <v>46191.0</v>
      </c>
      <c r="W59" s="41" t="s">
        <v>91</v>
      </c>
    </row>
    <row r="60" ht="15.75" customHeight="1">
      <c r="A60" s="37" t="s">
        <v>425</v>
      </c>
      <c r="B60" s="37" t="s">
        <v>75</v>
      </c>
      <c r="C60" s="37" t="s">
        <v>426</v>
      </c>
      <c r="D60" s="37" t="s">
        <v>77</v>
      </c>
      <c r="E60" s="37"/>
      <c r="F60" s="37" t="s">
        <v>427</v>
      </c>
      <c r="G60" s="37" t="s">
        <v>428</v>
      </c>
      <c r="H60" s="37" t="s">
        <v>221</v>
      </c>
      <c r="I60" s="49" t="s">
        <v>221</v>
      </c>
      <c r="J60" s="37" t="s">
        <v>81</v>
      </c>
      <c r="K60" s="37" t="s">
        <v>82</v>
      </c>
      <c r="L60" s="37" t="s">
        <v>83</v>
      </c>
      <c r="M60" s="37" t="s">
        <v>429</v>
      </c>
      <c r="N60" s="39" t="s">
        <v>134</v>
      </c>
      <c r="O60" s="37" t="s">
        <v>86</v>
      </c>
      <c r="P60" s="37"/>
      <c r="Q60" s="37" t="s">
        <v>430</v>
      </c>
      <c r="R60" s="37"/>
      <c r="S60" s="37" t="s">
        <v>88</v>
      </c>
      <c r="T60" s="37" t="s">
        <v>136</v>
      </c>
      <c r="U60" s="37" t="s">
        <v>369</v>
      </c>
      <c r="V60" s="40">
        <v>46191.0</v>
      </c>
      <c r="W60" s="41" t="s">
        <v>91</v>
      </c>
    </row>
    <row r="61" ht="15.75" customHeight="1">
      <c r="A61" s="42" t="s">
        <v>431</v>
      </c>
      <c r="B61" s="42" t="s">
        <v>75</v>
      </c>
      <c r="C61" s="42" t="s">
        <v>432</v>
      </c>
      <c r="D61" s="42" t="s">
        <v>77</v>
      </c>
      <c r="E61" s="42"/>
      <c r="F61" s="42" t="s">
        <v>427</v>
      </c>
      <c r="G61" s="42" t="s">
        <v>433</v>
      </c>
      <c r="H61" s="42" t="s">
        <v>221</v>
      </c>
      <c r="I61" s="49" t="s">
        <v>221</v>
      </c>
      <c r="J61" s="42" t="s">
        <v>81</v>
      </c>
      <c r="K61" s="42" t="s">
        <v>105</v>
      </c>
      <c r="L61" s="42" t="s">
        <v>83</v>
      </c>
      <c r="M61" s="42" t="s">
        <v>434</v>
      </c>
      <c r="N61" s="39" t="s">
        <v>134</v>
      </c>
      <c r="O61" s="42" t="s">
        <v>86</v>
      </c>
      <c r="P61" s="42"/>
      <c r="Q61" s="42" t="s">
        <v>435</v>
      </c>
      <c r="R61" s="42"/>
      <c r="S61" s="42" t="s">
        <v>88</v>
      </c>
      <c r="T61" s="42" t="s">
        <v>136</v>
      </c>
      <c r="U61" s="42" t="s">
        <v>369</v>
      </c>
      <c r="V61" s="44">
        <v>46191.0</v>
      </c>
      <c r="W61" s="41" t="s">
        <v>91</v>
      </c>
    </row>
    <row r="62" ht="15.75" customHeight="1">
      <c r="A62" s="37" t="s">
        <v>436</v>
      </c>
      <c r="B62" s="37" t="s">
        <v>75</v>
      </c>
      <c r="C62" s="37" t="s">
        <v>437</v>
      </c>
      <c r="D62" s="37" t="s">
        <v>77</v>
      </c>
      <c r="E62" s="37"/>
      <c r="F62" s="37" t="s">
        <v>438</v>
      </c>
      <c r="G62" s="37" t="s">
        <v>439</v>
      </c>
      <c r="H62" s="37" t="s">
        <v>221</v>
      </c>
      <c r="I62" s="49" t="s">
        <v>221</v>
      </c>
      <c r="J62" s="37" t="s">
        <v>81</v>
      </c>
      <c r="K62" s="37" t="s">
        <v>105</v>
      </c>
      <c r="L62" s="37" t="s">
        <v>83</v>
      </c>
      <c r="M62" s="37" t="s">
        <v>440</v>
      </c>
      <c r="N62" s="39" t="s">
        <v>134</v>
      </c>
      <c r="O62" s="37" t="s">
        <v>86</v>
      </c>
      <c r="P62" s="37"/>
      <c r="Q62" s="37" t="s">
        <v>441</v>
      </c>
      <c r="R62" s="37"/>
      <c r="S62" s="37" t="s">
        <v>88</v>
      </c>
      <c r="T62" s="37" t="s">
        <v>136</v>
      </c>
      <c r="U62" s="37" t="s">
        <v>369</v>
      </c>
      <c r="V62" s="40">
        <v>46191.0</v>
      </c>
      <c r="W62" s="41" t="s">
        <v>91</v>
      </c>
    </row>
    <row r="63" ht="15.75" customHeight="1">
      <c r="A63" s="42" t="s">
        <v>442</v>
      </c>
      <c r="B63" s="42" t="s">
        <v>75</v>
      </c>
      <c r="C63" s="42" t="s">
        <v>443</v>
      </c>
      <c r="D63" s="42" t="s">
        <v>77</v>
      </c>
      <c r="E63" s="42"/>
      <c r="F63" s="42" t="s">
        <v>438</v>
      </c>
      <c r="G63" s="42" t="s">
        <v>444</v>
      </c>
      <c r="H63" s="42" t="s">
        <v>104</v>
      </c>
      <c r="I63" s="45" t="s">
        <v>104</v>
      </c>
      <c r="J63" s="42" t="s">
        <v>81</v>
      </c>
      <c r="K63" s="42" t="s">
        <v>82</v>
      </c>
      <c r="L63" s="42" t="s">
        <v>83</v>
      </c>
      <c r="M63" s="42" t="s">
        <v>445</v>
      </c>
      <c r="N63" s="39" t="s">
        <v>134</v>
      </c>
      <c r="O63" s="42" t="s">
        <v>86</v>
      </c>
      <c r="P63" s="42"/>
      <c r="Q63" s="42" t="s">
        <v>446</v>
      </c>
      <c r="R63" s="42"/>
      <c r="S63" s="42" t="s">
        <v>88</v>
      </c>
      <c r="T63" s="42" t="s">
        <v>136</v>
      </c>
      <c r="U63" s="42" t="s">
        <v>369</v>
      </c>
      <c r="V63" s="44">
        <v>46191.0</v>
      </c>
      <c r="W63" s="41" t="s">
        <v>91</v>
      </c>
    </row>
    <row r="64" ht="15.75" customHeight="1">
      <c r="A64" s="37" t="s">
        <v>447</v>
      </c>
      <c r="B64" s="37" t="s">
        <v>75</v>
      </c>
      <c r="C64" s="37" t="s">
        <v>448</v>
      </c>
      <c r="D64" s="37" t="s">
        <v>77</v>
      </c>
      <c r="E64" s="37"/>
      <c r="F64" s="37" t="s">
        <v>449</v>
      </c>
      <c r="G64" s="37" t="s">
        <v>450</v>
      </c>
      <c r="H64" s="37" t="s">
        <v>221</v>
      </c>
      <c r="I64" s="49" t="s">
        <v>221</v>
      </c>
      <c r="J64" s="37" t="s">
        <v>81</v>
      </c>
      <c r="K64" s="37" t="s">
        <v>82</v>
      </c>
      <c r="L64" s="37" t="s">
        <v>83</v>
      </c>
      <c r="M64" s="37" t="s">
        <v>451</v>
      </c>
      <c r="N64" s="39" t="s">
        <v>134</v>
      </c>
      <c r="O64" s="37" t="s">
        <v>86</v>
      </c>
      <c r="P64" s="37"/>
      <c r="Q64" s="37" t="s">
        <v>452</v>
      </c>
      <c r="R64" s="37"/>
      <c r="S64" s="37" t="s">
        <v>88</v>
      </c>
      <c r="T64" s="37" t="s">
        <v>136</v>
      </c>
      <c r="U64" s="37" t="s">
        <v>369</v>
      </c>
      <c r="V64" s="40">
        <v>46191.0</v>
      </c>
      <c r="W64" s="41" t="s">
        <v>91</v>
      </c>
    </row>
    <row r="65" ht="15.75" customHeight="1">
      <c r="A65" s="42" t="s">
        <v>453</v>
      </c>
      <c r="B65" s="42" t="s">
        <v>75</v>
      </c>
      <c r="C65" s="42" t="s">
        <v>454</v>
      </c>
      <c r="D65" s="42" t="s">
        <v>77</v>
      </c>
      <c r="E65" s="42"/>
      <c r="F65" s="42" t="s">
        <v>449</v>
      </c>
      <c r="G65" s="42" t="s">
        <v>455</v>
      </c>
      <c r="H65" s="42" t="s">
        <v>80</v>
      </c>
      <c r="I65" s="38" t="s">
        <v>80</v>
      </c>
      <c r="J65" s="42" t="s">
        <v>81</v>
      </c>
      <c r="K65" s="42" t="s">
        <v>82</v>
      </c>
      <c r="L65" s="42" t="s">
        <v>83</v>
      </c>
      <c r="M65" s="42" t="s">
        <v>456</v>
      </c>
      <c r="N65" s="39" t="s">
        <v>134</v>
      </c>
      <c r="O65" s="42" t="s">
        <v>86</v>
      </c>
      <c r="P65" s="42"/>
      <c r="Q65" s="42" t="s">
        <v>457</v>
      </c>
      <c r="R65" s="42"/>
      <c r="S65" s="42" t="s">
        <v>88</v>
      </c>
      <c r="T65" s="42" t="s">
        <v>136</v>
      </c>
      <c r="U65" s="42" t="s">
        <v>369</v>
      </c>
      <c r="V65" s="44">
        <v>46191.0</v>
      </c>
      <c r="W65" s="41" t="s">
        <v>91</v>
      </c>
    </row>
    <row r="66" ht="15.75" customHeight="1">
      <c r="A66" s="37" t="s">
        <v>458</v>
      </c>
      <c r="B66" s="37" t="s">
        <v>75</v>
      </c>
      <c r="C66" s="37" t="s">
        <v>459</v>
      </c>
      <c r="D66" s="37" t="s">
        <v>77</v>
      </c>
      <c r="E66" s="37"/>
      <c r="F66" s="37" t="s">
        <v>449</v>
      </c>
      <c r="G66" s="37" t="s">
        <v>460</v>
      </c>
      <c r="H66" s="37" t="s">
        <v>104</v>
      </c>
      <c r="I66" s="45" t="s">
        <v>104</v>
      </c>
      <c r="J66" s="37" t="s">
        <v>81</v>
      </c>
      <c r="K66" s="37" t="s">
        <v>82</v>
      </c>
      <c r="L66" s="37" t="s">
        <v>83</v>
      </c>
      <c r="M66" s="37" t="s">
        <v>461</v>
      </c>
      <c r="N66" s="39" t="s">
        <v>134</v>
      </c>
      <c r="O66" s="37" t="s">
        <v>86</v>
      </c>
      <c r="P66" s="37"/>
      <c r="Q66" s="37" t="s">
        <v>462</v>
      </c>
      <c r="R66" s="37"/>
      <c r="S66" s="37" t="s">
        <v>88</v>
      </c>
      <c r="T66" s="37" t="s">
        <v>136</v>
      </c>
      <c r="U66" s="37" t="s">
        <v>369</v>
      </c>
      <c r="V66" s="40">
        <v>46191.0</v>
      </c>
      <c r="W66" s="41" t="s">
        <v>91</v>
      </c>
    </row>
    <row r="67" ht="15.75" customHeight="1">
      <c r="A67" s="42" t="s">
        <v>463</v>
      </c>
      <c r="B67" s="42" t="s">
        <v>75</v>
      </c>
      <c r="C67" s="42" t="s">
        <v>464</v>
      </c>
      <c r="D67" s="42" t="s">
        <v>77</v>
      </c>
      <c r="E67" s="42"/>
      <c r="F67" s="42" t="s">
        <v>465</v>
      </c>
      <c r="G67" s="42" t="s">
        <v>466</v>
      </c>
      <c r="H67" s="42" t="s">
        <v>104</v>
      </c>
      <c r="I67" s="45" t="s">
        <v>104</v>
      </c>
      <c r="J67" s="42" t="s">
        <v>81</v>
      </c>
      <c r="K67" s="42" t="s">
        <v>115</v>
      </c>
      <c r="L67" s="42" t="s">
        <v>116</v>
      </c>
      <c r="M67" s="42" t="s">
        <v>467</v>
      </c>
      <c r="N67" s="39" t="s">
        <v>134</v>
      </c>
      <c r="O67" s="42" t="s">
        <v>86</v>
      </c>
      <c r="P67" s="42"/>
      <c r="Q67" s="42" t="s">
        <v>468</v>
      </c>
      <c r="R67" s="42"/>
      <c r="S67" s="42" t="s">
        <v>88</v>
      </c>
      <c r="T67" s="42" t="s">
        <v>136</v>
      </c>
      <c r="U67" s="42" t="s">
        <v>369</v>
      </c>
      <c r="V67" s="44">
        <v>46191.0</v>
      </c>
      <c r="W67" s="41" t="s">
        <v>100</v>
      </c>
    </row>
    <row r="68" ht="15.75" customHeight="1">
      <c r="A68" s="37" t="s">
        <v>469</v>
      </c>
      <c r="B68" s="37" t="s">
        <v>75</v>
      </c>
      <c r="C68" s="37" t="s">
        <v>470</v>
      </c>
      <c r="D68" s="37" t="s">
        <v>77</v>
      </c>
      <c r="E68" s="37"/>
      <c r="F68" s="37" t="s">
        <v>471</v>
      </c>
      <c r="G68" s="37" t="s">
        <v>472</v>
      </c>
      <c r="H68" s="37" t="s">
        <v>221</v>
      </c>
      <c r="I68" s="49" t="s">
        <v>221</v>
      </c>
      <c r="J68" s="37" t="s">
        <v>81</v>
      </c>
      <c r="K68" s="37" t="s">
        <v>105</v>
      </c>
      <c r="L68" s="37" t="s">
        <v>83</v>
      </c>
      <c r="M68" s="37" t="s">
        <v>473</v>
      </c>
      <c r="N68" s="39" t="s">
        <v>134</v>
      </c>
      <c r="O68" s="37" t="s">
        <v>86</v>
      </c>
      <c r="P68" s="37"/>
      <c r="Q68" s="37" t="s">
        <v>452</v>
      </c>
      <c r="R68" s="37"/>
      <c r="S68" s="37" t="s">
        <v>88</v>
      </c>
      <c r="T68" s="37" t="s">
        <v>136</v>
      </c>
      <c r="U68" s="37" t="s">
        <v>369</v>
      </c>
      <c r="V68" s="40">
        <v>46191.0</v>
      </c>
      <c r="W68" s="41" t="s">
        <v>91</v>
      </c>
    </row>
    <row r="69" ht="15.75" customHeight="1">
      <c r="A69" s="42" t="s">
        <v>474</v>
      </c>
      <c r="B69" s="42" t="s">
        <v>75</v>
      </c>
      <c r="C69" s="42" t="s">
        <v>475</v>
      </c>
      <c r="D69" s="42" t="s">
        <v>77</v>
      </c>
      <c r="E69" s="42"/>
      <c r="F69" s="42" t="s">
        <v>476</v>
      </c>
      <c r="G69" s="42" t="s">
        <v>477</v>
      </c>
      <c r="H69" s="42" t="s">
        <v>221</v>
      </c>
      <c r="I69" s="49" t="s">
        <v>221</v>
      </c>
      <c r="J69" s="42" t="s">
        <v>81</v>
      </c>
      <c r="K69" s="42" t="s">
        <v>82</v>
      </c>
      <c r="L69" s="42" t="s">
        <v>83</v>
      </c>
      <c r="M69" s="42" t="s">
        <v>478</v>
      </c>
      <c r="N69" s="39" t="s">
        <v>134</v>
      </c>
      <c r="O69" s="42" t="s">
        <v>86</v>
      </c>
      <c r="P69" s="42"/>
      <c r="Q69" s="42" t="s">
        <v>479</v>
      </c>
      <c r="R69" s="42"/>
      <c r="S69" s="42" t="s">
        <v>88</v>
      </c>
      <c r="T69" s="42" t="s">
        <v>136</v>
      </c>
      <c r="U69" s="42" t="s">
        <v>369</v>
      </c>
      <c r="V69" s="44">
        <v>46191.0</v>
      </c>
      <c r="W69" s="41" t="s">
        <v>91</v>
      </c>
    </row>
    <row r="70" ht="15.75" customHeight="1">
      <c r="A70" s="37" t="s">
        <v>480</v>
      </c>
      <c r="B70" s="37" t="s">
        <v>75</v>
      </c>
      <c r="C70" s="37" t="s">
        <v>481</v>
      </c>
      <c r="D70" s="37" t="s">
        <v>77</v>
      </c>
      <c r="E70" s="37"/>
      <c r="F70" s="37" t="s">
        <v>482</v>
      </c>
      <c r="G70" s="37" t="s">
        <v>483</v>
      </c>
      <c r="H70" s="37" t="s">
        <v>221</v>
      </c>
      <c r="I70" s="49" t="s">
        <v>221</v>
      </c>
      <c r="J70" s="37" t="s">
        <v>81</v>
      </c>
      <c r="K70" s="37" t="s">
        <v>105</v>
      </c>
      <c r="L70" s="37" t="s">
        <v>83</v>
      </c>
      <c r="M70" s="37" t="s">
        <v>484</v>
      </c>
      <c r="N70" s="39" t="s">
        <v>134</v>
      </c>
      <c r="O70" s="37" t="s">
        <v>86</v>
      </c>
      <c r="P70" s="37"/>
      <c r="Q70" s="37" t="s">
        <v>485</v>
      </c>
      <c r="R70" s="37"/>
      <c r="S70" s="37" t="s">
        <v>88</v>
      </c>
      <c r="T70" s="37" t="s">
        <v>136</v>
      </c>
      <c r="U70" s="37" t="s">
        <v>369</v>
      </c>
      <c r="V70" s="40">
        <v>46191.0</v>
      </c>
      <c r="W70" s="41" t="s">
        <v>91</v>
      </c>
    </row>
    <row r="71" ht="15.75" customHeight="1">
      <c r="A71" s="42" t="s">
        <v>486</v>
      </c>
      <c r="B71" s="42" t="s">
        <v>75</v>
      </c>
      <c r="C71" s="42" t="s">
        <v>487</v>
      </c>
      <c r="D71" s="42" t="s">
        <v>77</v>
      </c>
      <c r="E71" s="42"/>
      <c r="F71" s="42" t="s">
        <v>482</v>
      </c>
      <c r="G71" s="42" t="s">
        <v>488</v>
      </c>
      <c r="H71" s="42" t="s">
        <v>221</v>
      </c>
      <c r="I71" s="49" t="s">
        <v>221</v>
      </c>
      <c r="J71" s="42" t="s">
        <v>81</v>
      </c>
      <c r="K71" s="42" t="s">
        <v>489</v>
      </c>
      <c r="L71" s="42" t="s">
        <v>489</v>
      </c>
      <c r="M71" s="42" t="s">
        <v>490</v>
      </c>
      <c r="N71" s="39" t="s">
        <v>134</v>
      </c>
      <c r="O71" s="42" t="s">
        <v>86</v>
      </c>
      <c r="P71" s="42"/>
      <c r="Q71" s="42" t="s">
        <v>491</v>
      </c>
      <c r="R71" s="42"/>
      <c r="S71" s="42" t="s">
        <v>88</v>
      </c>
      <c r="T71" s="42" t="s">
        <v>136</v>
      </c>
      <c r="U71" s="42" t="s">
        <v>369</v>
      </c>
      <c r="V71" s="44">
        <v>46191.0</v>
      </c>
      <c r="W71" s="41" t="s">
        <v>100</v>
      </c>
    </row>
    <row r="72" ht="15.75" customHeight="1">
      <c r="A72" s="37" t="s">
        <v>492</v>
      </c>
      <c r="B72" s="37" t="s">
        <v>75</v>
      </c>
      <c r="C72" s="37" t="s">
        <v>493</v>
      </c>
      <c r="D72" s="37" t="s">
        <v>77</v>
      </c>
      <c r="E72" s="37"/>
      <c r="F72" s="37" t="s">
        <v>494</v>
      </c>
      <c r="G72" s="37" t="s">
        <v>495</v>
      </c>
      <c r="H72" s="37" t="s">
        <v>221</v>
      </c>
      <c r="I72" s="49" t="s">
        <v>221</v>
      </c>
      <c r="J72" s="37" t="s">
        <v>81</v>
      </c>
      <c r="K72" s="37" t="s">
        <v>82</v>
      </c>
      <c r="L72" s="37" t="s">
        <v>83</v>
      </c>
      <c r="M72" s="37" t="s">
        <v>496</v>
      </c>
      <c r="N72" s="39" t="s">
        <v>134</v>
      </c>
      <c r="O72" s="37" t="s">
        <v>86</v>
      </c>
      <c r="P72" s="37"/>
      <c r="Q72" s="37" t="s">
        <v>497</v>
      </c>
      <c r="R72" s="37"/>
      <c r="S72" s="37" t="s">
        <v>88</v>
      </c>
      <c r="T72" s="37" t="s">
        <v>136</v>
      </c>
      <c r="U72" s="37" t="s">
        <v>369</v>
      </c>
      <c r="V72" s="40">
        <v>46191.0</v>
      </c>
      <c r="W72" s="41" t="s">
        <v>91</v>
      </c>
    </row>
    <row r="73" ht="15.75" customHeight="1">
      <c r="A73" s="42" t="s">
        <v>498</v>
      </c>
      <c r="B73" s="42" t="s">
        <v>75</v>
      </c>
      <c r="C73" s="42" t="s">
        <v>499</v>
      </c>
      <c r="D73" s="42" t="s">
        <v>77</v>
      </c>
      <c r="E73" s="42"/>
      <c r="F73" s="42" t="s">
        <v>494</v>
      </c>
      <c r="G73" s="42" t="s">
        <v>500</v>
      </c>
      <c r="H73" s="42" t="s">
        <v>221</v>
      </c>
      <c r="I73" s="49" t="s">
        <v>221</v>
      </c>
      <c r="J73" s="42" t="s">
        <v>81</v>
      </c>
      <c r="K73" s="42" t="s">
        <v>489</v>
      </c>
      <c r="L73" s="42" t="s">
        <v>489</v>
      </c>
      <c r="M73" s="42" t="s">
        <v>501</v>
      </c>
      <c r="N73" s="39" t="s">
        <v>134</v>
      </c>
      <c r="O73" s="42" t="s">
        <v>86</v>
      </c>
      <c r="P73" s="42"/>
      <c r="Q73" s="42" t="s">
        <v>502</v>
      </c>
      <c r="R73" s="42"/>
      <c r="S73" s="42" t="s">
        <v>88</v>
      </c>
      <c r="T73" s="42" t="s">
        <v>136</v>
      </c>
      <c r="U73" s="42" t="s">
        <v>369</v>
      </c>
      <c r="V73" s="44">
        <v>46191.0</v>
      </c>
      <c r="W73" s="41" t="s">
        <v>100</v>
      </c>
    </row>
    <row r="74" ht="15.75" customHeight="1">
      <c r="A74" s="37" t="s">
        <v>503</v>
      </c>
      <c r="B74" s="37" t="s">
        <v>75</v>
      </c>
      <c r="C74" s="37" t="s">
        <v>504</v>
      </c>
      <c r="D74" s="37" t="s">
        <v>77</v>
      </c>
      <c r="E74" s="37"/>
      <c r="F74" s="37" t="s">
        <v>505</v>
      </c>
      <c r="G74" s="37" t="s">
        <v>506</v>
      </c>
      <c r="H74" s="37" t="s">
        <v>221</v>
      </c>
      <c r="I74" s="49" t="s">
        <v>221</v>
      </c>
      <c r="J74" s="37" t="s">
        <v>81</v>
      </c>
      <c r="K74" s="37" t="s">
        <v>105</v>
      </c>
      <c r="L74" s="37" t="s">
        <v>83</v>
      </c>
      <c r="M74" s="37" t="s">
        <v>507</v>
      </c>
      <c r="N74" s="39" t="s">
        <v>134</v>
      </c>
      <c r="O74" s="37" t="s">
        <v>86</v>
      </c>
      <c r="P74" s="37"/>
      <c r="Q74" s="37" t="s">
        <v>508</v>
      </c>
      <c r="R74" s="37"/>
      <c r="S74" s="37" t="s">
        <v>88</v>
      </c>
      <c r="T74" s="37" t="s">
        <v>136</v>
      </c>
      <c r="U74" s="37" t="s">
        <v>369</v>
      </c>
      <c r="V74" s="40">
        <v>46191.0</v>
      </c>
      <c r="W74" s="41" t="s">
        <v>91</v>
      </c>
    </row>
    <row r="75" ht="15.75" customHeight="1">
      <c r="A75" s="42" t="s">
        <v>509</v>
      </c>
      <c r="B75" s="42" t="s">
        <v>75</v>
      </c>
      <c r="C75" s="42" t="s">
        <v>510</v>
      </c>
      <c r="D75" s="42" t="s">
        <v>77</v>
      </c>
      <c r="E75" s="42"/>
      <c r="F75" s="42" t="s">
        <v>505</v>
      </c>
      <c r="G75" s="42" t="s">
        <v>511</v>
      </c>
      <c r="H75" s="42" t="s">
        <v>221</v>
      </c>
      <c r="I75" s="49" t="s">
        <v>221</v>
      </c>
      <c r="J75" s="42" t="s">
        <v>81</v>
      </c>
      <c r="K75" s="42" t="s">
        <v>82</v>
      </c>
      <c r="L75" s="42" t="s">
        <v>83</v>
      </c>
      <c r="M75" s="42" t="s">
        <v>512</v>
      </c>
      <c r="N75" s="39" t="s">
        <v>134</v>
      </c>
      <c r="O75" s="42" t="s">
        <v>86</v>
      </c>
      <c r="P75" s="42"/>
      <c r="Q75" s="42" t="s">
        <v>513</v>
      </c>
      <c r="R75" s="42"/>
      <c r="S75" s="42" t="s">
        <v>88</v>
      </c>
      <c r="T75" s="42" t="s">
        <v>136</v>
      </c>
      <c r="U75" s="42" t="s">
        <v>369</v>
      </c>
      <c r="V75" s="44">
        <v>46191.0</v>
      </c>
      <c r="W75" s="41" t="s">
        <v>91</v>
      </c>
    </row>
    <row r="76" ht="15.75" customHeight="1">
      <c r="A76" s="37" t="s">
        <v>514</v>
      </c>
      <c r="B76" s="37" t="s">
        <v>75</v>
      </c>
      <c r="C76" s="37" t="s">
        <v>515</v>
      </c>
      <c r="D76" s="37" t="s">
        <v>77</v>
      </c>
      <c r="E76" s="37"/>
      <c r="F76" s="37" t="s">
        <v>505</v>
      </c>
      <c r="G76" s="37" t="s">
        <v>516</v>
      </c>
      <c r="H76" s="37" t="s">
        <v>104</v>
      </c>
      <c r="I76" s="45" t="s">
        <v>104</v>
      </c>
      <c r="J76" s="37" t="s">
        <v>81</v>
      </c>
      <c r="K76" s="37" t="s">
        <v>105</v>
      </c>
      <c r="L76" s="37" t="s">
        <v>83</v>
      </c>
      <c r="M76" s="37" t="s">
        <v>517</v>
      </c>
      <c r="N76" s="39" t="s">
        <v>134</v>
      </c>
      <c r="O76" s="37" t="s">
        <v>86</v>
      </c>
      <c r="P76" s="37"/>
      <c r="Q76" s="37" t="s">
        <v>518</v>
      </c>
      <c r="R76" s="37"/>
      <c r="S76" s="37" t="s">
        <v>88</v>
      </c>
      <c r="T76" s="37" t="s">
        <v>136</v>
      </c>
      <c r="U76" s="37" t="s">
        <v>369</v>
      </c>
      <c r="V76" s="40">
        <v>46191.0</v>
      </c>
      <c r="W76" s="41" t="s">
        <v>91</v>
      </c>
    </row>
    <row r="77" ht="15.75" customHeight="1">
      <c r="A77" s="42" t="s">
        <v>519</v>
      </c>
      <c r="B77" s="42" t="s">
        <v>75</v>
      </c>
      <c r="C77" s="42" t="s">
        <v>520</v>
      </c>
      <c r="D77" s="42" t="s">
        <v>77</v>
      </c>
      <c r="E77" s="42"/>
      <c r="F77" s="42" t="s">
        <v>521</v>
      </c>
      <c r="G77" s="42" t="s">
        <v>522</v>
      </c>
      <c r="H77" s="42" t="s">
        <v>221</v>
      </c>
      <c r="I77" s="49" t="s">
        <v>221</v>
      </c>
      <c r="J77" s="42" t="s">
        <v>81</v>
      </c>
      <c r="K77" s="42" t="s">
        <v>105</v>
      </c>
      <c r="L77" s="42" t="s">
        <v>83</v>
      </c>
      <c r="M77" s="42" t="s">
        <v>523</v>
      </c>
      <c r="N77" s="39" t="s">
        <v>134</v>
      </c>
      <c r="O77" s="42" t="s">
        <v>86</v>
      </c>
      <c r="P77" s="42"/>
      <c r="Q77" s="42" t="s">
        <v>524</v>
      </c>
      <c r="R77" s="42"/>
      <c r="S77" s="42" t="s">
        <v>88</v>
      </c>
      <c r="T77" s="42" t="s">
        <v>136</v>
      </c>
      <c r="U77" s="42" t="s">
        <v>369</v>
      </c>
      <c r="V77" s="44">
        <v>46191.0</v>
      </c>
      <c r="W77" s="41" t="s">
        <v>91</v>
      </c>
    </row>
    <row r="78" ht="15.75" customHeight="1">
      <c r="A78" s="37" t="s">
        <v>525</v>
      </c>
      <c r="B78" s="37" t="s">
        <v>75</v>
      </c>
      <c r="C78" s="37" t="s">
        <v>526</v>
      </c>
      <c r="D78" s="37" t="s">
        <v>77</v>
      </c>
      <c r="E78" s="37"/>
      <c r="F78" s="37" t="s">
        <v>527</v>
      </c>
      <c r="G78" s="37" t="s">
        <v>528</v>
      </c>
      <c r="H78" s="37" t="s">
        <v>221</v>
      </c>
      <c r="I78" s="49" t="s">
        <v>221</v>
      </c>
      <c r="J78" s="37" t="s">
        <v>81</v>
      </c>
      <c r="K78" s="37" t="s">
        <v>105</v>
      </c>
      <c r="L78" s="37" t="s">
        <v>83</v>
      </c>
      <c r="M78" s="37" t="s">
        <v>529</v>
      </c>
      <c r="N78" s="39" t="s">
        <v>134</v>
      </c>
      <c r="O78" s="37" t="s">
        <v>86</v>
      </c>
      <c r="P78" s="37"/>
      <c r="Q78" s="37" t="s">
        <v>530</v>
      </c>
      <c r="R78" s="37"/>
      <c r="S78" s="37" t="s">
        <v>88</v>
      </c>
      <c r="T78" s="37" t="s">
        <v>136</v>
      </c>
      <c r="U78" s="37" t="s">
        <v>369</v>
      </c>
      <c r="V78" s="40">
        <v>46191.0</v>
      </c>
      <c r="W78" s="41" t="s">
        <v>91</v>
      </c>
    </row>
    <row r="79" ht="15.75" customHeight="1">
      <c r="A79" s="42" t="s">
        <v>531</v>
      </c>
      <c r="B79" s="42" t="s">
        <v>75</v>
      </c>
      <c r="C79" s="42" t="s">
        <v>532</v>
      </c>
      <c r="D79" s="42" t="s">
        <v>77</v>
      </c>
      <c r="E79" s="42"/>
      <c r="F79" s="42" t="s">
        <v>527</v>
      </c>
      <c r="G79" s="42" t="s">
        <v>533</v>
      </c>
      <c r="H79" s="42" t="s">
        <v>80</v>
      </c>
      <c r="I79" s="38" t="s">
        <v>80</v>
      </c>
      <c r="J79" s="42" t="s">
        <v>81</v>
      </c>
      <c r="K79" s="42" t="s">
        <v>115</v>
      </c>
      <c r="L79" s="42" t="s">
        <v>116</v>
      </c>
      <c r="M79" s="42" t="s">
        <v>534</v>
      </c>
      <c r="N79" s="39" t="s">
        <v>134</v>
      </c>
      <c r="O79" s="42" t="s">
        <v>86</v>
      </c>
      <c r="P79" s="42"/>
      <c r="Q79" s="42" t="s">
        <v>535</v>
      </c>
      <c r="R79" s="42"/>
      <c r="S79" s="42" t="s">
        <v>88</v>
      </c>
      <c r="T79" s="42" t="s">
        <v>136</v>
      </c>
      <c r="U79" s="42" t="s">
        <v>369</v>
      </c>
      <c r="V79" s="44">
        <v>46191.0</v>
      </c>
      <c r="W79" s="41" t="s">
        <v>100</v>
      </c>
    </row>
    <row r="80" ht="15.75" customHeight="1">
      <c r="A80" s="37" t="s">
        <v>536</v>
      </c>
      <c r="B80" s="37" t="s">
        <v>75</v>
      </c>
      <c r="C80" s="37" t="s">
        <v>537</v>
      </c>
      <c r="D80" s="37" t="s">
        <v>77</v>
      </c>
      <c r="E80" s="37"/>
      <c r="F80" s="37" t="s">
        <v>538</v>
      </c>
      <c r="G80" s="37" t="s">
        <v>539</v>
      </c>
      <c r="H80" s="37" t="s">
        <v>104</v>
      </c>
      <c r="I80" s="45" t="s">
        <v>104</v>
      </c>
      <c r="J80" s="37" t="s">
        <v>81</v>
      </c>
      <c r="K80" s="37" t="s">
        <v>82</v>
      </c>
      <c r="L80" s="37" t="s">
        <v>83</v>
      </c>
      <c r="M80" s="37" t="s">
        <v>540</v>
      </c>
      <c r="N80" s="39" t="s">
        <v>134</v>
      </c>
      <c r="O80" s="37" t="s">
        <v>86</v>
      </c>
      <c r="P80" s="37"/>
      <c r="Q80" s="37" t="s">
        <v>541</v>
      </c>
      <c r="R80" s="37"/>
      <c r="S80" s="37" t="s">
        <v>88</v>
      </c>
      <c r="T80" s="37" t="s">
        <v>136</v>
      </c>
      <c r="U80" s="37" t="s">
        <v>369</v>
      </c>
      <c r="V80" s="40">
        <v>46191.0</v>
      </c>
      <c r="W80" s="41" t="s">
        <v>91</v>
      </c>
    </row>
    <row r="81" ht="15.75" customHeight="1">
      <c r="A81" s="42" t="s">
        <v>542</v>
      </c>
      <c r="B81" s="42" t="s">
        <v>75</v>
      </c>
      <c r="C81" s="42" t="s">
        <v>543</v>
      </c>
      <c r="D81" s="42" t="s">
        <v>77</v>
      </c>
      <c r="E81" s="42"/>
      <c r="F81" s="42" t="s">
        <v>538</v>
      </c>
      <c r="G81" s="42" t="s">
        <v>544</v>
      </c>
      <c r="H81" s="42" t="s">
        <v>80</v>
      </c>
      <c r="I81" s="38" t="s">
        <v>80</v>
      </c>
      <c r="J81" s="42" t="s">
        <v>81</v>
      </c>
      <c r="K81" s="42" t="s">
        <v>152</v>
      </c>
      <c r="L81" s="42" t="s">
        <v>153</v>
      </c>
      <c r="M81" s="42" t="s">
        <v>545</v>
      </c>
      <c r="N81" s="39" t="s">
        <v>134</v>
      </c>
      <c r="O81" s="42" t="s">
        <v>86</v>
      </c>
      <c r="P81" s="42"/>
      <c r="Q81" s="42" t="s">
        <v>546</v>
      </c>
      <c r="R81" s="42"/>
      <c r="S81" s="42" t="s">
        <v>88</v>
      </c>
      <c r="T81" s="42" t="s">
        <v>136</v>
      </c>
      <c r="U81" s="42" t="s">
        <v>369</v>
      </c>
      <c r="V81" s="44">
        <v>46191.0</v>
      </c>
      <c r="W81" s="41" t="s">
        <v>91</v>
      </c>
    </row>
    <row r="82" ht="15.75" customHeight="1">
      <c r="A82" s="37" t="s">
        <v>547</v>
      </c>
      <c r="B82" s="37" t="s">
        <v>75</v>
      </c>
      <c r="C82" s="37" t="s">
        <v>548</v>
      </c>
      <c r="D82" s="37" t="s">
        <v>77</v>
      </c>
      <c r="E82" s="37"/>
      <c r="F82" s="37" t="s">
        <v>549</v>
      </c>
      <c r="G82" s="37" t="s">
        <v>550</v>
      </c>
      <c r="H82" s="37" t="s">
        <v>221</v>
      </c>
      <c r="I82" s="49" t="s">
        <v>221</v>
      </c>
      <c r="J82" s="37" t="s">
        <v>81</v>
      </c>
      <c r="K82" s="37" t="s">
        <v>82</v>
      </c>
      <c r="L82" s="37" t="s">
        <v>83</v>
      </c>
      <c r="M82" s="37" t="s">
        <v>551</v>
      </c>
      <c r="N82" s="39" t="s">
        <v>134</v>
      </c>
      <c r="O82" s="37" t="s">
        <v>86</v>
      </c>
      <c r="P82" s="37"/>
      <c r="Q82" s="37" t="s">
        <v>546</v>
      </c>
      <c r="R82" s="37"/>
      <c r="S82" s="37" t="s">
        <v>88</v>
      </c>
      <c r="T82" s="37" t="s">
        <v>136</v>
      </c>
      <c r="U82" s="37" t="s">
        <v>369</v>
      </c>
      <c r="V82" s="40">
        <v>46191.0</v>
      </c>
      <c r="W82" s="41" t="s">
        <v>91</v>
      </c>
    </row>
    <row r="83" ht="15.75" customHeight="1">
      <c r="A83" s="42" t="s">
        <v>552</v>
      </c>
      <c r="B83" s="42" t="s">
        <v>75</v>
      </c>
      <c r="C83" s="42" t="s">
        <v>553</v>
      </c>
      <c r="D83" s="42" t="s">
        <v>77</v>
      </c>
      <c r="E83" s="42"/>
      <c r="F83" s="42" t="s">
        <v>549</v>
      </c>
      <c r="G83" s="42" t="s">
        <v>554</v>
      </c>
      <c r="H83" s="42" t="s">
        <v>80</v>
      </c>
      <c r="I83" s="38" t="s">
        <v>80</v>
      </c>
      <c r="J83" s="42" t="s">
        <v>81</v>
      </c>
      <c r="K83" s="42" t="s">
        <v>82</v>
      </c>
      <c r="L83" s="42" t="s">
        <v>83</v>
      </c>
      <c r="M83" s="42" t="s">
        <v>555</v>
      </c>
      <c r="N83" s="39" t="s">
        <v>134</v>
      </c>
      <c r="O83" s="42" t="s">
        <v>86</v>
      </c>
      <c r="P83" s="42"/>
      <c r="Q83" s="42" t="s">
        <v>556</v>
      </c>
      <c r="R83" s="42"/>
      <c r="S83" s="42" t="s">
        <v>88</v>
      </c>
      <c r="T83" s="42" t="s">
        <v>136</v>
      </c>
      <c r="U83" s="42" t="s">
        <v>369</v>
      </c>
      <c r="V83" s="44">
        <v>46191.0</v>
      </c>
      <c r="W83" s="41" t="s">
        <v>91</v>
      </c>
    </row>
    <row r="84" ht="15.75" customHeight="1">
      <c r="A84" s="37" t="s">
        <v>557</v>
      </c>
      <c r="B84" s="37" t="s">
        <v>75</v>
      </c>
      <c r="C84" s="37" t="s">
        <v>558</v>
      </c>
      <c r="D84" s="37" t="s">
        <v>77</v>
      </c>
      <c r="E84" s="37"/>
      <c r="F84" s="37" t="s">
        <v>559</v>
      </c>
      <c r="G84" s="37" t="s">
        <v>560</v>
      </c>
      <c r="H84" s="37" t="s">
        <v>221</v>
      </c>
      <c r="I84" s="49" t="s">
        <v>221</v>
      </c>
      <c r="J84" s="37" t="s">
        <v>81</v>
      </c>
      <c r="K84" s="37" t="s">
        <v>82</v>
      </c>
      <c r="L84" s="37" t="s">
        <v>83</v>
      </c>
      <c r="M84" s="37" t="s">
        <v>561</v>
      </c>
      <c r="N84" s="39" t="s">
        <v>134</v>
      </c>
      <c r="O84" s="37" t="s">
        <v>86</v>
      </c>
      <c r="P84" s="37"/>
      <c r="Q84" s="37" t="s">
        <v>562</v>
      </c>
      <c r="R84" s="37"/>
      <c r="S84" s="37" t="s">
        <v>88</v>
      </c>
      <c r="T84" s="37" t="s">
        <v>136</v>
      </c>
      <c r="U84" s="37" t="s">
        <v>369</v>
      </c>
      <c r="V84" s="40">
        <v>46191.0</v>
      </c>
      <c r="W84" s="41" t="s">
        <v>91</v>
      </c>
    </row>
    <row r="85" ht="15.75" customHeight="1">
      <c r="A85" s="42" t="s">
        <v>563</v>
      </c>
      <c r="B85" s="42" t="s">
        <v>75</v>
      </c>
      <c r="C85" s="42" t="s">
        <v>564</v>
      </c>
      <c r="D85" s="42" t="s">
        <v>77</v>
      </c>
      <c r="E85" s="42"/>
      <c r="F85" s="42" t="s">
        <v>559</v>
      </c>
      <c r="G85" s="42" t="s">
        <v>565</v>
      </c>
      <c r="H85" s="42" t="s">
        <v>221</v>
      </c>
      <c r="I85" s="49" t="s">
        <v>221</v>
      </c>
      <c r="J85" s="42" t="s">
        <v>81</v>
      </c>
      <c r="K85" s="42" t="s">
        <v>82</v>
      </c>
      <c r="L85" s="42" t="s">
        <v>83</v>
      </c>
      <c r="M85" s="42" t="s">
        <v>566</v>
      </c>
      <c r="N85" s="39" t="s">
        <v>134</v>
      </c>
      <c r="O85" s="42" t="s">
        <v>86</v>
      </c>
      <c r="P85" s="42"/>
      <c r="Q85" s="42" t="s">
        <v>567</v>
      </c>
      <c r="R85" s="42"/>
      <c r="S85" s="42" t="s">
        <v>88</v>
      </c>
      <c r="T85" s="42" t="s">
        <v>136</v>
      </c>
      <c r="U85" s="42" t="s">
        <v>369</v>
      </c>
      <c r="V85" s="44">
        <v>46191.0</v>
      </c>
      <c r="W85" s="41" t="s">
        <v>91</v>
      </c>
    </row>
    <row r="86" ht="15.75" customHeight="1">
      <c r="A86" s="37" t="s">
        <v>568</v>
      </c>
      <c r="B86" s="37" t="s">
        <v>75</v>
      </c>
      <c r="C86" s="37" t="s">
        <v>569</v>
      </c>
      <c r="D86" s="37" t="s">
        <v>77</v>
      </c>
      <c r="E86" s="37"/>
      <c r="F86" s="37" t="s">
        <v>570</v>
      </c>
      <c r="G86" s="37" t="s">
        <v>571</v>
      </c>
      <c r="H86" s="37" t="s">
        <v>221</v>
      </c>
      <c r="I86" s="49" t="s">
        <v>221</v>
      </c>
      <c r="J86" s="37" t="s">
        <v>81</v>
      </c>
      <c r="K86" s="37" t="s">
        <v>489</v>
      </c>
      <c r="L86" s="37" t="s">
        <v>489</v>
      </c>
      <c r="M86" s="37" t="s">
        <v>572</v>
      </c>
      <c r="N86" s="39" t="s">
        <v>134</v>
      </c>
      <c r="O86" s="37" t="s">
        <v>86</v>
      </c>
      <c r="P86" s="37"/>
      <c r="Q86" s="37" t="s">
        <v>573</v>
      </c>
      <c r="R86" s="37"/>
      <c r="S86" s="37" t="s">
        <v>88</v>
      </c>
      <c r="T86" s="37" t="s">
        <v>136</v>
      </c>
      <c r="U86" s="37" t="s">
        <v>369</v>
      </c>
      <c r="V86" s="40">
        <v>46191.0</v>
      </c>
      <c r="W86" s="41" t="s">
        <v>100</v>
      </c>
    </row>
    <row r="87" ht="15.75" customHeight="1">
      <c r="A87" s="42" t="s">
        <v>574</v>
      </c>
      <c r="B87" s="42" t="s">
        <v>75</v>
      </c>
      <c r="C87" s="42" t="s">
        <v>575</v>
      </c>
      <c r="D87" s="42" t="s">
        <v>77</v>
      </c>
      <c r="E87" s="42"/>
      <c r="F87" s="42" t="s">
        <v>570</v>
      </c>
      <c r="G87" s="42" t="s">
        <v>576</v>
      </c>
      <c r="H87" s="42" t="s">
        <v>80</v>
      </c>
      <c r="I87" s="38" t="s">
        <v>80</v>
      </c>
      <c r="J87" s="42" t="s">
        <v>81</v>
      </c>
      <c r="K87" s="42" t="s">
        <v>82</v>
      </c>
      <c r="L87" s="42" t="s">
        <v>83</v>
      </c>
      <c r="M87" s="42" t="s">
        <v>577</v>
      </c>
      <c r="N87" s="39" t="s">
        <v>134</v>
      </c>
      <c r="O87" s="42" t="s">
        <v>86</v>
      </c>
      <c r="P87" s="42"/>
      <c r="Q87" s="42" t="s">
        <v>556</v>
      </c>
      <c r="R87" s="42"/>
      <c r="S87" s="42" t="s">
        <v>88</v>
      </c>
      <c r="T87" s="42" t="s">
        <v>136</v>
      </c>
      <c r="U87" s="42" t="s">
        <v>369</v>
      </c>
      <c r="V87" s="44">
        <v>46191.0</v>
      </c>
      <c r="W87" s="41" t="s">
        <v>91</v>
      </c>
    </row>
    <row r="88" ht="15.75" customHeight="1">
      <c r="A88" s="37" t="s">
        <v>578</v>
      </c>
      <c r="B88" s="37" t="s">
        <v>75</v>
      </c>
      <c r="C88" s="37" t="s">
        <v>579</v>
      </c>
      <c r="D88" s="37" t="s">
        <v>77</v>
      </c>
      <c r="E88" s="37"/>
      <c r="F88" s="37" t="s">
        <v>580</v>
      </c>
      <c r="G88" s="37" t="s">
        <v>581</v>
      </c>
      <c r="H88" s="37" t="s">
        <v>80</v>
      </c>
      <c r="I88" s="38" t="s">
        <v>80</v>
      </c>
      <c r="J88" s="37" t="s">
        <v>81</v>
      </c>
      <c r="K88" s="37" t="s">
        <v>82</v>
      </c>
      <c r="L88" s="37" t="s">
        <v>83</v>
      </c>
      <c r="M88" s="37" t="s">
        <v>582</v>
      </c>
      <c r="N88" s="39" t="s">
        <v>134</v>
      </c>
      <c r="O88" s="37" t="s">
        <v>86</v>
      </c>
      <c r="P88" s="37"/>
      <c r="Q88" s="37" t="s">
        <v>583</v>
      </c>
      <c r="R88" s="37"/>
      <c r="S88" s="37" t="s">
        <v>584</v>
      </c>
      <c r="T88" s="37" t="s">
        <v>136</v>
      </c>
      <c r="U88" s="37" t="s">
        <v>369</v>
      </c>
      <c r="V88" s="40">
        <v>46191.0</v>
      </c>
      <c r="W88" s="41" t="s">
        <v>91</v>
      </c>
    </row>
    <row r="89" ht="15.75" customHeight="1">
      <c r="A89" s="42" t="s">
        <v>585</v>
      </c>
      <c r="B89" s="42" t="s">
        <v>75</v>
      </c>
      <c r="C89" s="42" t="s">
        <v>586</v>
      </c>
      <c r="D89" s="42" t="s">
        <v>77</v>
      </c>
      <c r="E89" s="42"/>
      <c r="F89" s="42" t="s">
        <v>580</v>
      </c>
      <c r="G89" s="42" t="s">
        <v>587</v>
      </c>
      <c r="H89" s="42" t="s">
        <v>80</v>
      </c>
      <c r="I89" s="38" t="s">
        <v>80</v>
      </c>
      <c r="J89" s="42" t="s">
        <v>81</v>
      </c>
      <c r="K89" s="42" t="s">
        <v>115</v>
      </c>
      <c r="L89" s="42" t="s">
        <v>116</v>
      </c>
      <c r="M89" s="42" t="s">
        <v>588</v>
      </c>
      <c r="N89" s="39" t="s">
        <v>134</v>
      </c>
      <c r="O89" s="42" t="s">
        <v>86</v>
      </c>
      <c r="P89" s="42"/>
      <c r="Q89" s="42" t="s">
        <v>589</v>
      </c>
      <c r="R89" s="42"/>
      <c r="S89" s="42" t="s">
        <v>584</v>
      </c>
      <c r="T89" s="42" t="s">
        <v>136</v>
      </c>
      <c r="U89" s="42" t="s">
        <v>369</v>
      </c>
      <c r="V89" s="44">
        <v>46191.0</v>
      </c>
      <c r="W89" s="41" t="s">
        <v>100</v>
      </c>
    </row>
    <row r="90" ht="15.75" customHeight="1">
      <c r="A90" s="37" t="s">
        <v>590</v>
      </c>
      <c r="B90" s="37" t="s">
        <v>75</v>
      </c>
      <c r="C90" s="37" t="s">
        <v>591</v>
      </c>
      <c r="D90" s="37" t="s">
        <v>77</v>
      </c>
      <c r="E90" s="37"/>
      <c r="F90" s="37" t="s">
        <v>592</v>
      </c>
      <c r="G90" s="37" t="s">
        <v>593</v>
      </c>
      <c r="H90" s="37" t="s">
        <v>80</v>
      </c>
      <c r="I90" s="38" t="s">
        <v>80</v>
      </c>
      <c r="J90" s="37" t="s">
        <v>81</v>
      </c>
      <c r="K90" s="37" t="s">
        <v>82</v>
      </c>
      <c r="L90" s="37" t="s">
        <v>83</v>
      </c>
      <c r="M90" s="37" t="s">
        <v>594</v>
      </c>
      <c r="N90" s="39" t="s">
        <v>134</v>
      </c>
      <c r="O90" s="37" t="s">
        <v>86</v>
      </c>
      <c r="P90" s="37"/>
      <c r="Q90" s="37" t="s">
        <v>595</v>
      </c>
      <c r="R90" s="37"/>
      <c r="S90" s="37" t="s">
        <v>584</v>
      </c>
      <c r="T90" s="37" t="s">
        <v>136</v>
      </c>
      <c r="U90" s="37" t="s">
        <v>369</v>
      </c>
      <c r="V90" s="40">
        <v>46191.0</v>
      </c>
      <c r="W90" s="41" t="s">
        <v>91</v>
      </c>
    </row>
    <row r="91" ht="15.75" customHeight="1">
      <c r="A91" s="42" t="s">
        <v>596</v>
      </c>
      <c r="B91" s="42" t="s">
        <v>75</v>
      </c>
      <c r="C91" s="42" t="s">
        <v>597</v>
      </c>
      <c r="D91" s="42" t="s">
        <v>77</v>
      </c>
      <c r="E91" s="42"/>
      <c r="F91" s="42" t="s">
        <v>598</v>
      </c>
      <c r="G91" s="42" t="s">
        <v>599</v>
      </c>
      <c r="H91" s="42" t="s">
        <v>80</v>
      </c>
      <c r="I91" s="38" t="s">
        <v>80</v>
      </c>
      <c r="J91" s="42" t="s">
        <v>81</v>
      </c>
      <c r="K91" s="42" t="s">
        <v>82</v>
      </c>
      <c r="L91" s="42" t="s">
        <v>83</v>
      </c>
      <c r="M91" s="42" t="s">
        <v>600</v>
      </c>
      <c r="N91" s="39" t="s">
        <v>134</v>
      </c>
      <c r="O91" s="42" t="s">
        <v>86</v>
      </c>
      <c r="P91" s="42"/>
      <c r="Q91" s="42" t="s">
        <v>601</v>
      </c>
      <c r="R91" s="42"/>
      <c r="S91" s="42" t="s">
        <v>584</v>
      </c>
      <c r="T91" s="42" t="s">
        <v>136</v>
      </c>
      <c r="U91" s="42" t="s">
        <v>369</v>
      </c>
      <c r="V91" s="44">
        <v>46191.0</v>
      </c>
      <c r="W91" s="41" t="s">
        <v>91</v>
      </c>
    </row>
    <row r="92" ht="15.75" customHeight="1">
      <c r="A92" s="37" t="s">
        <v>602</v>
      </c>
      <c r="B92" s="37" t="s">
        <v>75</v>
      </c>
      <c r="C92" s="37" t="s">
        <v>603</v>
      </c>
      <c r="D92" s="37" t="s">
        <v>77</v>
      </c>
      <c r="E92" s="37"/>
      <c r="F92" s="37" t="s">
        <v>598</v>
      </c>
      <c r="G92" s="37" t="s">
        <v>604</v>
      </c>
      <c r="H92" s="37" t="s">
        <v>104</v>
      </c>
      <c r="I92" s="45" t="s">
        <v>104</v>
      </c>
      <c r="J92" s="37" t="s">
        <v>81</v>
      </c>
      <c r="K92" s="37" t="s">
        <v>82</v>
      </c>
      <c r="L92" s="37" t="s">
        <v>83</v>
      </c>
      <c r="M92" s="37" t="s">
        <v>605</v>
      </c>
      <c r="N92" s="39" t="s">
        <v>134</v>
      </c>
      <c r="O92" s="37" t="s">
        <v>86</v>
      </c>
      <c r="P92" s="37"/>
      <c r="Q92" s="37" t="s">
        <v>606</v>
      </c>
      <c r="R92" s="37"/>
      <c r="S92" s="37" t="s">
        <v>584</v>
      </c>
      <c r="T92" s="37" t="s">
        <v>136</v>
      </c>
      <c r="U92" s="37" t="s">
        <v>369</v>
      </c>
      <c r="V92" s="40">
        <v>46191.0</v>
      </c>
      <c r="W92" s="41" t="s">
        <v>91</v>
      </c>
    </row>
    <row r="93" ht="15.75" customHeight="1">
      <c r="A93" s="42" t="s">
        <v>607</v>
      </c>
      <c r="B93" s="42" t="s">
        <v>75</v>
      </c>
      <c r="C93" s="42" t="s">
        <v>608</v>
      </c>
      <c r="D93" s="42" t="s">
        <v>77</v>
      </c>
      <c r="E93" s="42"/>
      <c r="F93" s="42" t="s">
        <v>609</v>
      </c>
      <c r="G93" s="42" t="s">
        <v>610</v>
      </c>
      <c r="H93" s="42" t="s">
        <v>80</v>
      </c>
      <c r="I93" s="38" t="s">
        <v>80</v>
      </c>
      <c r="J93" s="42" t="s">
        <v>81</v>
      </c>
      <c r="K93" s="42" t="s">
        <v>82</v>
      </c>
      <c r="L93" s="42" t="s">
        <v>83</v>
      </c>
      <c r="M93" s="42" t="s">
        <v>611</v>
      </c>
      <c r="N93" s="39" t="s">
        <v>134</v>
      </c>
      <c r="O93" s="42" t="s">
        <v>86</v>
      </c>
      <c r="P93" s="42"/>
      <c r="Q93" s="42" t="s">
        <v>612</v>
      </c>
      <c r="R93" s="42"/>
      <c r="S93" s="42" t="s">
        <v>584</v>
      </c>
      <c r="T93" s="42" t="s">
        <v>136</v>
      </c>
      <c r="U93" s="42" t="s">
        <v>369</v>
      </c>
      <c r="V93" s="44">
        <v>46191.0</v>
      </c>
      <c r="W93" s="41" t="s">
        <v>91</v>
      </c>
    </row>
    <row r="94" ht="15.75" customHeight="1">
      <c r="A94" s="37" t="s">
        <v>613</v>
      </c>
      <c r="B94" s="37" t="s">
        <v>75</v>
      </c>
      <c r="C94" s="37" t="s">
        <v>614</v>
      </c>
      <c r="D94" s="37" t="s">
        <v>77</v>
      </c>
      <c r="E94" s="37"/>
      <c r="F94" s="37" t="s">
        <v>609</v>
      </c>
      <c r="G94" s="37" t="s">
        <v>615</v>
      </c>
      <c r="H94" s="37" t="s">
        <v>80</v>
      </c>
      <c r="I94" s="38" t="s">
        <v>80</v>
      </c>
      <c r="J94" s="37" t="s">
        <v>81</v>
      </c>
      <c r="K94" s="37" t="s">
        <v>82</v>
      </c>
      <c r="L94" s="37" t="s">
        <v>83</v>
      </c>
      <c r="M94" s="37" t="s">
        <v>616</v>
      </c>
      <c r="N94" s="39" t="s">
        <v>134</v>
      </c>
      <c r="O94" s="37" t="s">
        <v>86</v>
      </c>
      <c r="P94" s="37"/>
      <c r="Q94" s="37" t="s">
        <v>617</v>
      </c>
      <c r="R94" s="37"/>
      <c r="S94" s="37" t="s">
        <v>584</v>
      </c>
      <c r="T94" s="37" t="s">
        <v>136</v>
      </c>
      <c r="U94" s="37" t="s">
        <v>369</v>
      </c>
      <c r="V94" s="40">
        <v>46191.0</v>
      </c>
      <c r="W94" s="41" t="s">
        <v>91</v>
      </c>
    </row>
    <row r="95" ht="15.75" customHeight="1">
      <c r="A95" s="42" t="s">
        <v>618</v>
      </c>
      <c r="B95" s="42" t="s">
        <v>75</v>
      </c>
      <c r="C95" s="42" t="s">
        <v>619</v>
      </c>
      <c r="D95" s="42" t="s">
        <v>77</v>
      </c>
      <c r="E95" s="42"/>
      <c r="F95" s="42" t="s">
        <v>609</v>
      </c>
      <c r="G95" s="42" t="s">
        <v>620</v>
      </c>
      <c r="H95" s="42" t="s">
        <v>104</v>
      </c>
      <c r="I95" s="45" t="s">
        <v>104</v>
      </c>
      <c r="J95" s="42" t="s">
        <v>81</v>
      </c>
      <c r="K95" s="42" t="s">
        <v>82</v>
      </c>
      <c r="L95" s="42" t="s">
        <v>83</v>
      </c>
      <c r="M95" s="42" t="s">
        <v>621</v>
      </c>
      <c r="N95" s="39" t="s">
        <v>134</v>
      </c>
      <c r="O95" s="42" t="s">
        <v>86</v>
      </c>
      <c r="P95" s="42"/>
      <c r="Q95" s="42" t="s">
        <v>622</v>
      </c>
      <c r="R95" s="42"/>
      <c r="S95" s="42" t="s">
        <v>584</v>
      </c>
      <c r="T95" s="42" t="s">
        <v>136</v>
      </c>
      <c r="U95" s="42" t="s">
        <v>369</v>
      </c>
      <c r="V95" s="44">
        <v>46191.0</v>
      </c>
      <c r="W95" s="41" t="s">
        <v>91</v>
      </c>
    </row>
    <row r="96" ht="15.75" customHeight="1">
      <c r="A96" s="37" t="s">
        <v>623</v>
      </c>
      <c r="B96" s="37" t="s">
        <v>75</v>
      </c>
      <c r="C96" s="37" t="s">
        <v>624</v>
      </c>
      <c r="D96" s="37" t="s">
        <v>77</v>
      </c>
      <c r="E96" s="37"/>
      <c r="F96" s="37" t="s">
        <v>625</v>
      </c>
      <c r="G96" s="37" t="s">
        <v>626</v>
      </c>
      <c r="H96" s="37" t="s">
        <v>221</v>
      </c>
      <c r="I96" s="49" t="s">
        <v>221</v>
      </c>
      <c r="J96" s="37" t="s">
        <v>81</v>
      </c>
      <c r="K96" s="37" t="s">
        <v>115</v>
      </c>
      <c r="L96" s="37" t="s">
        <v>116</v>
      </c>
      <c r="M96" s="37" t="s">
        <v>627</v>
      </c>
      <c r="N96" s="39" t="s">
        <v>134</v>
      </c>
      <c r="O96" s="37" t="s">
        <v>86</v>
      </c>
      <c r="P96" s="37"/>
      <c r="Q96" s="37" t="s">
        <v>628</v>
      </c>
      <c r="R96" s="37"/>
      <c r="S96" s="37" t="s">
        <v>584</v>
      </c>
      <c r="T96" s="37" t="s">
        <v>136</v>
      </c>
      <c r="U96" s="37" t="s">
        <v>369</v>
      </c>
      <c r="V96" s="40">
        <v>46191.0</v>
      </c>
      <c r="W96" s="41" t="s">
        <v>100</v>
      </c>
    </row>
    <row r="97" ht="15.75" customHeight="1">
      <c r="A97" s="42" t="s">
        <v>629</v>
      </c>
      <c r="B97" s="42" t="s">
        <v>75</v>
      </c>
      <c r="C97" s="42" t="s">
        <v>630</v>
      </c>
      <c r="D97" s="42" t="s">
        <v>77</v>
      </c>
      <c r="E97" s="42"/>
      <c r="F97" s="42" t="s">
        <v>631</v>
      </c>
      <c r="G97" s="42" t="s">
        <v>632</v>
      </c>
      <c r="H97" s="42" t="s">
        <v>80</v>
      </c>
      <c r="I97" s="38" t="s">
        <v>80</v>
      </c>
      <c r="J97" s="42" t="s">
        <v>81</v>
      </c>
      <c r="K97" s="42" t="s">
        <v>82</v>
      </c>
      <c r="L97" s="42" t="s">
        <v>83</v>
      </c>
      <c r="M97" s="42" t="s">
        <v>633</v>
      </c>
      <c r="N97" s="39" t="s">
        <v>134</v>
      </c>
      <c r="O97" s="42" t="s">
        <v>86</v>
      </c>
      <c r="P97" s="42"/>
      <c r="Q97" s="42" t="s">
        <v>634</v>
      </c>
      <c r="R97" s="42"/>
      <c r="S97" s="42" t="s">
        <v>584</v>
      </c>
      <c r="T97" s="42" t="s">
        <v>136</v>
      </c>
      <c r="U97" s="42" t="s">
        <v>369</v>
      </c>
      <c r="V97" s="44">
        <v>46191.0</v>
      </c>
      <c r="W97" s="41" t="s">
        <v>91</v>
      </c>
    </row>
    <row r="98" ht="15.75" customHeight="1">
      <c r="A98" s="37" t="s">
        <v>635</v>
      </c>
      <c r="B98" s="37" t="s">
        <v>75</v>
      </c>
      <c r="C98" s="37" t="s">
        <v>636</v>
      </c>
      <c r="D98" s="37" t="s">
        <v>77</v>
      </c>
      <c r="E98" s="37"/>
      <c r="F98" s="37" t="s">
        <v>637</v>
      </c>
      <c r="G98" s="37" t="s">
        <v>638</v>
      </c>
      <c r="H98" s="37" t="s">
        <v>80</v>
      </c>
      <c r="I98" s="38" t="s">
        <v>80</v>
      </c>
      <c r="J98" s="37" t="s">
        <v>81</v>
      </c>
      <c r="K98" s="37" t="s">
        <v>82</v>
      </c>
      <c r="L98" s="37" t="s">
        <v>83</v>
      </c>
      <c r="M98" s="37" t="s">
        <v>639</v>
      </c>
      <c r="N98" s="39" t="s">
        <v>134</v>
      </c>
      <c r="O98" s="37" t="s">
        <v>86</v>
      </c>
      <c r="P98" s="37"/>
      <c r="Q98" s="37" t="s">
        <v>640</v>
      </c>
      <c r="R98" s="37"/>
      <c r="S98" s="37" t="s">
        <v>584</v>
      </c>
      <c r="T98" s="37" t="s">
        <v>136</v>
      </c>
      <c r="U98" s="37" t="s">
        <v>369</v>
      </c>
      <c r="V98" s="40">
        <v>46191.0</v>
      </c>
      <c r="W98" s="41" t="s">
        <v>91</v>
      </c>
    </row>
    <row r="99" ht="15.75" customHeight="1">
      <c r="A99" s="42" t="s">
        <v>641</v>
      </c>
      <c r="B99" s="42" t="s">
        <v>75</v>
      </c>
      <c r="C99" s="42" t="s">
        <v>642</v>
      </c>
      <c r="D99" s="42" t="s">
        <v>77</v>
      </c>
      <c r="E99" s="42"/>
      <c r="F99" s="42" t="s">
        <v>637</v>
      </c>
      <c r="G99" s="42" t="s">
        <v>643</v>
      </c>
      <c r="H99" s="42" t="s">
        <v>104</v>
      </c>
      <c r="I99" s="45" t="s">
        <v>104</v>
      </c>
      <c r="J99" s="42" t="s">
        <v>81</v>
      </c>
      <c r="K99" s="42" t="s">
        <v>82</v>
      </c>
      <c r="L99" s="42" t="s">
        <v>83</v>
      </c>
      <c r="M99" s="42" t="s">
        <v>644</v>
      </c>
      <c r="N99" s="39" t="s">
        <v>134</v>
      </c>
      <c r="O99" s="42" t="s">
        <v>86</v>
      </c>
      <c r="P99" s="42"/>
      <c r="Q99" s="42" t="s">
        <v>645</v>
      </c>
      <c r="R99" s="42"/>
      <c r="S99" s="42" t="s">
        <v>584</v>
      </c>
      <c r="T99" s="42" t="s">
        <v>136</v>
      </c>
      <c r="U99" s="42" t="s">
        <v>369</v>
      </c>
      <c r="V99" s="44">
        <v>46191.0</v>
      </c>
      <c r="W99" s="41" t="s">
        <v>91</v>
      </c>
    </row>
    <row r="100" ht="15.75" customHeight="1">
      <c r="A100" s="37" t="s">
        <v>646</v>
      </c>
      <c r="B100" s="37" t="s">
        <v>75</v>
      </c>
      <c r="C100" s="37" t="s">
        <v>647</v>
      </c>
      <c r="D100" s="37" t="s">
        <v>77</v>
      </c>
      <c r="E100" s="37"/>
      <c r="F100" s="37" t="s">
        <v>648</v>
      </c>
      <c r="G100" s="37" t="s">
        <v>649</v>
      </c>
      <c r="H100" s="37" t="s">
        <v>221</v>
      </c>
      <c r="I100" s="49" t="s">
        <v>221</v>
      </c>
      <c r="J100" s="37" t="s">
        <v>81</v>
      </c>
      <c r="K100" s="37" t="s">
        <v>82</v>
      </c>
      <c r="L100" s="37" t="s">
        <v>83</v>
      </c>
      <c r="M100" s="37" t="s">
        <v>650</v>
      </c>
      <c r="N100" s="39" t="s">
        <v>134</v>
      </c>
      <c r="O100" s="37" t="s">
        <v>86</v>
      </c>
      <c r="P100" s="37"/>
      <c r="Q100" s="37" t="s">
        <v>651</v>
      </c>
      <c r="R100" s="37"/>
      <c r="S100" s="37" t="s">
        <v>584</v>
      </c>
      <c r="T100" s="37" t="s">
        <v>136</v>
      </c>
      <c r="U100" s="37" t="s">
        <v>369</v>
      </c>
      <c r="V100" s="40">
        <v>46191.0</v>
      </c>
      <c r="W100" s="41" t="s">
        <v>91</v>
      </c>
    </row>
    <row r="101" ht="15.75" customHeight="1">
      <c r="A101" s="42" t="s">
        <v>652</v>
      </c>
      <c r="B101" s="42" t="s">
        <v>75</v>
      </c>
      <c r="C101" s="42" t="s">
        <v>653</v>
      </c>
      <c r="D101" s="42" t="s">
        <v>77</v>
      </c>
      <c r="E101" s="42"/>
      <c r="F101" s="42" t="s">
        <v>648</v>
      </c>
      <c r="G101" s="42" t="s">
        <v>654</v>
      </c>
      <c r="H101" s="42" t="s">
        <v>221</v>
      </c>
      <c r="I101" s="49" t="s">
        <v>221</v>
      </c>
      <c r="J101" s="42" t="s">
        <v>81</v>
      </c>
      <c r="K101" s="42" t="s">
        <v>82</v>
      </c>
      <c r="L101" s="42" t="s">
        <v>83</v>
      </c>
      <c r="M101" s="42" t="s">
        <v>655</v>
      </c>
      <c r="N101" s="39" t="s">
        <v>134</v>
      </c>
      <c r="O101" s="42" t="s">
        <v>86</v>
      </c>
      <c r="P101" s="42"/>
      <c r="Q101" s="42" t="s">
        <v>656</v>
      </c>
      <c r="R101" s="42"/>
      <c r="S101" s="42" t="s">
        <v>584</v>
      </c>
      <c r="T101" s="42" t="s">
        <v>136</v>
      </c>
      <c r="U101" s="42" t="s">
        <v>369</v>
      </c>
      <c r="V101" s="44">
        <v>46191.0</v>
      </c>
      <c r="W101" s="41" t="s">
        <v>91</v>
      </c>
    </row>
    <row r="102" ht="15.75" customHeight="1">
      <c r="A102" s="37" t="s">
        <v>657</v>
      </c>
      <c r="B102" s="37" t="s">
        <v>75</v>
      </c>
      <c r="C102" s="37" t="s">
        <v>658</v>
      </c>
      <c r="D102" s="37" t="s">
        <v>77</v>
      </c>
      <c r="E102" s="37"/>
      <c r="F102" s="37" t="s">
        <v>659</v>
      </c>
      <c r="G102" s="37" t="s">
        <v>660</v>
      </c>
      <c r="H102" s="37" t="s">
        <v>221</v>
      </c>
      <c r="I102" s="49" t="s">
        <v>221</v>
      </c>
      <c r="J102" s="37" t="s">
        <v>81</v>
      </c>
      <c r="K102" s="37" t="s">
        <v>152</v>
      </c>
      <c r="L102" s="37" t="s">
        <v>153</v>
      </c>
      <c r="M102" s="37" t="s">
        <v>661</v>
      </c>
      <c r="N102" s="39" t="s">
        <v>134</v>
      </c>
      <c r="O102" s="37" t="s">
        <v>86</v>
      </c>
      <c r="P102" s="37"/>
      <c r="Q102" s="37" t="s">
        <v>662</v>
      </c>
      <c r="R102" s="37"/>
      <c r="S102" s="37" t="s">
        <v>663</v>
      </c>
      <c r="T102" s="37" t="s">
        <v>136</v>
      </c>
      <c r="U102" s="37" t="s">
        <v>369</v>
      </c>
      <c r="V102" s="40">
        <v>46191.0</v>
      </c>
      <c r="W102" s="41" t="s">
        <v>91</v>
      </c>
    </row>
    <row r="103" ht="15.75" customHeight="1">
      <c r="A103" s="42" t="s">
        <v>664</v>
      </c>
      <c r="B103" s="42" t="s">
        <v>75</v>
      </c>
      <c r="C103" s="42" t="s">
        <v>665</v>
      </c>
      <c r="D103" s="42" t="s">
        <v>77</v>
      </c>
      <c r="E103" s="42"/>
      <c r="F103" s="42" t="s">
        <v>666</v>
      </c>
      <c r="G103" s="42" t="s">
        <v>667</v>
      </c>
      <c r="H103" s="42" t="s">
        <v>221</v>
      </c>
      <c r="I103" s="49" t="s">
        <v>221</v>
      </c>
      <c r="J103" s="42" t="s">
        <v>124</v>
      </c>
      <c r="K103" s="42" t="s">
        <v>668</v>
      </c>
      <c r="L103" s="42" t="s">
        <v>669</v>
      </c>
      <c r="M103" s="42" t="s">
        <v>670</v>
      </c>
      <c r="N103" s="47" t="s">
        <v>126</v>
      </c>
      <c r="O103" s="42" t="s">
        <v>86</v>
      </c>
      <c r="P103" s="42"/>
      <c r="Q103" s="42" t="s">
        <v>671</v>
      </c>
      <c r="R103" s="42"/>
      <c r="S103" s="42" t="s">
        <v>663</v>
      </c>
      <c r="T103" s="42" t="s">
        <v>128</v>
      </c>
      <c r="U103" s="42" t="s">
        <v>369</v>
      </c>
      <c r="V103" s="44">
        <v>46191.0</v>
      </c>
      <c r="W103" s="41" t="s">
        <v>100</v>
      </c>
    </row>
    <row r="104" ht="15.75" customHeight="1">
      <c r="A104" s="37" t="s">
        <v>672</v>
      </c>
      <c r="B104" s="37" t="s">
        <v>75</v>
      </c>
      <c r="C104" s="37" t="s">
        <v>673</v>
      </c>
      <c r="D104" s="37" t="s">
        <v>77</v>
      </c>
      <c r="E104" s="37"/>
      <c r="F104" s="37" t="s">
        <v>674</v>
      </c>
      <c r="G104" s="37" t="s">
        <v>675</v>
      </c>
      <c r="H104" s="37" t="s">
        <v>221</v>
      </c>
      <c r="I104" s="49" t="s">
        <v>221</v>
      </c>
      <c r="J104" s="37" t="s">
        <v>81</v>
      </c>
      <c r="K104" s="37" t="s">
        <v>82</v>
      </c>
      <c r="L104" s="37" t="s">
        <v>83</v>
      </c>
      <c r="M104" s="37" t="s">
        <v>676</v>
      </c>
      <c r="N104" s="39" t="s">
        <v>134</v>
      </c>
      <c r="O104" s="37" t="s">
        <v>86</v>
      </c>
      <c r="P104" s="37"/>
      <c r="Q104" s="37" t="s">
        <v>677</v>
      </c>
      <c r="R104" s="37"/>
      <c r="S104" s="37" t="s">
        <v>663</v>
      </c>
      <c r="T104" s="37" t="s">
        <v>136</v>
      </c>
      <c r="U104" s="37" t="s">
        <v>369</v>
      </c>
      <c r="V104" s="40">
        <v>46191.0</v>
      </c>
      <c r="W104" s="41" t="s">
        <v>91</v>
      </c>
    </row>
    <row r="105" ht="15.75" customHeight="1">
      <c r="A105" s="42" t="s">
        <v>678</v>
      </c>
      <c r="B105" s="42" t="s">
        <v>75</v>
      </c>
      <c r="C105" s="42" t="s">
        <v>679</v>
      </c>
      <c r="D105" s="42" t="s">
        <v>77</v>
      </c>
      <c r="E105" s="42"/>
      <c r="F105" s="42" t="s">
        <v>674</v>
      </c>
      <c r="G105" s="42" t="s">
        <v>680</v>
      </c>
      <c r="H105" s="42" t="s">
        <v>221</v>
      </c>
      <c r="I105" s="49" t="s">
        <v>221</v>
      </c>
      <c r="J105" s="42" t="s">
        <v>81</v>
      </c>
      <c r="K105" s="42" t="s">
        <v>82</v>
      </c>
      <c r="L105" s="42" t="s">
        <v>83</v>
      </c>
      <c r="M105" s="42" t="s">
        <v>681</v>
      </c>
      <c r="N105" s="39" t="s">
        <v>134</v>
      </c>
      <c r="O105" s="42" t="s">
        <v>86</v>
      </c>
      <c r="P105" s="42"/>
      <c r="Q105" s="42" t="s">
        <v>682</v>
      </c>
      <c r="R105" s="42"/>
      <c r="S105" s="42" t="s">
        <v>663</v>
      </c>
      <c r="T105" s="42" t="s">
        <v>136</v>
      </c>
      <c r="U105" s="42" t="s">
        <v>369</v>
      </c>
      <c r="V105" s="44">
        <v>46191.0</v>
      </c>
      <c r="W105" s="41" t="s">
        <v>91</v>
      </c>
    </row>
    <row r="106" ht="15.75" customHeight="1">
      <c r="A106" s="37" t="s">
        <v>683</v>
      </c>
      <c r="B106" s="37" t="s">
        <v>75</v>
      </c>
      <c r="C106" s="37" t="s">
        <v>684</v>
      </c>
      <c r="D106" s="37" t="s">
        <v>77</v>
      </c>
      <c r="E106" s="37"/>
      <c r="F106" s="37" t="s">
        <v>685</v>
      </c>
      <c r="G106" s="37" t="s">
        <v>686</v>
      </c>
      <c r="H106" s="37" t="s">
        <v>80</v>
      </c>
      <c r="I106" s="38" t="s">
        <v>80</v>
      </c>
      <c r="J106" s="37" t="s">
        <v>81</v>
      </c>
      <c r="K106" s="37" t="s">
        <v>105</v>
      </c>
      <c r="L106" s="37" t="s">
        <v>83</v>
      </c>
      <c r="M106" s="37" t="s">
        <v>687</v>
      </c>
      <c r="N106" s="39" t="s">
        <v>134</v>
      </c>
      <c r="O106" s="37" t="s">
        <v>86</v>
      </c>
      <c r="P106" s="37"/>
      <c r="Q106" s="37" t="s">
        <v>688</v>
      </c>
      <c r="R106" s="37"/>
      <c r="S106" s="37" t="s">
        <v>663</v>
      </c>
      <c r="T106" s="37" t="s">
        <v>136</v>
      </c>
      <c r="U106" s="37" t="s">
        <v>369</v>
      </c>
      <c r="V106" s="40">
        <v>46191.0</v>
      </c>
      <c r="W106" s="41" t="s">
        <v>91</v>
      </c>
    </row>
    <row r="107" ht="15.75" customHeight="1">
      <c r="A107" s="42" t="s">
        <v>689</v>
      </c>
      <c r="B107" s="42" t="s">
        <v>75</v>
      </c>
      <c r="C107" s="42" t="s">
        <v>690</v>
      </c>
      <c r="D107" s="42" t="s">
        <v>77</v>
      </c>
      <c r="E107" s="42"/>
      <c r="F107" s="42" t="s">
        <v>691</v>
      </c>
      <c r="G107" s="42" t="s">
        <v>692</v>
      </c>
      <c r="H107" s="42" t="s">
        <v>80</v>
      </c>
      <c r="I107" s="38" t="s">
        <v>80</v>
      </c>
      <c r="J107" s="42" t="s">
        <v>81</v>
      </c>
      <c r="K107" s="42" t="s">
        <v>82</v>
      </c>
      <c r="L107" s="42" t="s">
        <v>83</v>
      </c>
      <c r="M107" s="42" t="s">
        <v>693</v>
      </c>
      <c r="N107" s="39" t="s">
        <v>134</v>
      </c>
      <c r="O107" s="42" t="s">
        <v>86</v>
      </c>
      <c r="P107" s="42"/>
      <c r="Q107" s="42" t="s">
        <v>694</v>
      </c>
      <c r="R107" s="42"/>
      <c r="S107" s="42" t="s">
        <v>663</v>
      </c>
      <c r="T107" s="42" t="s">
        <v>136</v>
      </c>
      <c r="U107" s="42" t="s">
        <v>369</v>
      </c>
      <c r="V107" s="44">
        <v>46191.0</v>
      </c>
      <c r="W107" s="41" t="s">
        <v>91</v>
      </c>
    </row>
    <row r="108" ht="15.75" customHeight="1">
      <c r="A108" s="37" t="s">
        <v>695</v>
      </c>
      <c r="B108" s="37" t="s">
        <v>75</v>
      </c>
      <c r="C108" s="37" t="s">
        <v>696</v>
      </c>
      <c r="D108" s="37" t="s">
        <v>77</v>
      </c>
      <c r="E108" s="37"/>
      <c r="F108" s="37" t="s">
        <v>697</v>
      </c>
      <c r="G108" s="37" t="s">
        <v>698</v>
      </c>
      <c r="H108" s="37" t="s">
        <v>221</v>
      </c>
      <c r="I108" s="49" t="s">
        <v>221</v>
      </c>
      <c r="J108" s="37" t="s">
        <v>81</v>
      </c>
      <c r="K108" s="37" t="s">
        <v>152</v>
      </c>
      <c r="L108" s="37" t="s">
        <v>153</v>
      </c>
      <c r="M108" s="37" t="s">
        <v>699</v>
      </c>
      <c r="N108" s="39" t="s">
        <v>134</v>
      </c>
      <c r="O108" s="37" t="s">
        <v>86</v>
      </c>
      <c r="P108" s="37"/>
      <c r="Q108" s="37" t="s">
        <v>700</v>
      </c>
      <c r="R108" s="37"/>
      <c r="S108" s="37" t="s">
        <v>663</v>
      </c>
      <c r="T108" s="37" t="s">
        <v>136</v>
      </c>
      <c r="U108" s="37" t="s">
        <v>369</v>
      </c>
      <c r="V108" s="40">
        <v>46191.0</v>
      </c>
      <c r="W108" s="41" t="s">
        <v>91</v>
      </c>
    </row>
    <row r="109" ht="15.75" customHeight="1">
      <c r="A109" s="42" t="s">
        <v>701</v>
      </c>
      <c r="B109" s="42" t="s">
        <v>75</v>
      </c>
      <c r="C109" s="42" t="s">
        <v>702</v>
      </c>
      <c r="D109" s="42" t="s">
        <v>77</v>
      </c>
      <c r="E109" s="42"/>
      <c r="F109" s="42" t="s">
        <v>703</v>
      </c>
      <c r="G109" s="42" t="s">
        <v>704</v>
      </c>
      <c r="H109" s="42" t="s">
        <v>221</v>
      </c>
      <c r="I109" s="49" t="s">
        <v>221</v>
      </c>
      <c r="J109" s="42" t="s">
        <v>81</v>
      </c>
      <c r="K109" s="42" t="s">
        <v>152</v>
      </c>
      <c r="L109" s="42" t="s">
        <v>153</v>
      </c>
      <c r="M109" s="42" t="s">
        <v>705</v>
      </c>
      <c r="N109" s="39" t="s">
        <v>134</v>
      </c>
      <c r="O109" s="42" t="s">
        <v>86</v>
      </c>
      <c r="P109" s="42"/>
      <c r="Q109" s="42" t="s">
        <v>706</v>
      </c>
      <c r="R109" s="42"/>
      <c r="S109" s="42" t="s">
        <v>663</v>
      </c>
      <c r="T109" s="42" t="s">
        <v>136</v>
      </c>
      <c r="U109" s="42" t="s">
        <v>369</v>
      </c>
      <c r="V109" s="44">
        <v>46191.0</v>
      </c>
      <c r="W109" s="41" t="s">
        <v>91</v>
      </c>
    </row>
    <row r="110" ht="15.75" customHeight="1">
      <c r="A110" s="37" t="s">
        <v>707</v>
      </c>
      <c r="B110" s="37" t="s">
        <v>75</v>
      </c>
      <c r="C110" s="37" t="s">
        <v>708</v>
      </c>
      <c r="D110" s="37" t="s">
        <v>77</v>
      </c>
      <c r="E110" s="37"/>
      <c r="F110" s="37" t="s">
        <v>709</v>
      </c>
      <c r="G110" s="37" t="s">
        <v>710</v>
      </c>
      <c r="H110" s="37" t="s">
        <v>221</v>
      </c>
      <c r="I110" s="49" t="s">
        <v>221</v>
      </c>
      <c r="J110" s="37" t="s">
        <v>81</v>
      </c>
      <c r="K110" s="37" t="s">
        <v>152</v>
      </c>
      <c r="L110" s="37" t="s">
        <v>153</v>
      </c>
      <c r="M110" s="37" t="s">
        <v>711</v>
      </c>
      <c r="N110" s="39" t="s">
        <v>134</v>
      </c>
      <c r="O110" s="37" t="s">
        <v>86</v>
      </c>
      <c r="P110" s="37"/>
      <c r="Q110" s="37" t="s">
        <v>712</v>
      </c>
      <c r="R110" s="37"/>
      <c r="S110" s="37" t="s">
        <v>663</v>
      </c>
      <c r="T110" s="37" t="s">
        <v>136</v>
      </c>
      <c r="U110" s="37" t="s">
        <v>369</v>
      </c>
      <c r="V110" s="40">
        <v>46191.0</v>
      </c>
      <c r="W110" s="41" t="s">
        <v>91</v>
      </c>
    </row>
    <row r="111" ht="15.75" customHeight="1">
      <c r="A111" s="42" t="s">
        <v>713</v>
      </c>
      <c r="B111" s="42" t="s">
        <v>75</v>
      </c>
      <c r="C111" s="42" t="s">
        <v>714</v>
      </c>
      <c r="D111" s="42" t="s">
        <v>77</v>
      </c>
      <c r="E111" s="42"/>
      <c r="F111" s="42" t="s">
        <v>715</v>
      </c>
      <c r="G111" s="42" t="s">
        <v>716</v>
      </c>
      <c r="H111" s="42" t="s">
        <v>221</v>
      </c>
      <c r="I111" s="49" t="s">
        <v>221</v>
      </c>
      <c r="J111" s="42" t="s">
        <v>81</v>
      </c>
      <c r="K111" s="42" t="s">
        <v>152</v>
      </c>
      <c r="L111" s="42" t="s">
        <v>153</v>
      </c>
      <c r="M111" s="42" t="s">
        <v>717</v>
      </c>
      <c r="N111" s="39" t="s">
        <v>134</v>
      </c>
      <c r="O111" s="42" t="s">
        <v>86</v>
      </c>
      <c r="P111" s="42"/>
      <c r="Q111" s="42" t="s">
        <v>718</v>
      </c>
      <c r="R111" s="42"/>
      <c r="S111" s="42" t="s">
        <v>663</v>
      </c>
      <c r="T111" s="42" t="s">
        <v>136</v>
      </c>
      <c r="U111" s="42" t="s">
        <v>369</v>
      </c>
      <c r="V111" s="44">
        <v>46191.0</v>
      </c>
      <c r="W111" s="41" t="s">
        <v>91</v>
      </c>
    </row>
    <row r="112" ht="15.75" customHeight="1">
      <c r="A112" s="37" t="s">
        <v>719</v>
      </c>
      <c r="B112" s="37" t="s">
        <v>75</v>
      </c>
      <c r="C112" s="37" t="s">
        <v>720</v>
      </c>
      <c r="D112" s="37" t="s">
        <v>77</v>
      </c>
      <c r="E112" s="37"/>
      <c r="F112" s="37" t="s">
        <v>721</v>
      </c>
      <c r="G112" s="37" t="s">
        <v>722</v>
      </c>
      <c r="H112" s="37" t="s">
        <v>221</v>
      </c>
      <c r="I112" s="49" t="s">
        <v>221</v>
      </c>
      <c r="J112" s="37" t="s">
        <v>81</v>
      </c>
      <c r="K112" s="37" t="s">
        <v>152</v>
      </c>
      <c r="L112" s="37" t="s">
        <v>153</v>
      </c>
      <c r="M112" s="37" t="s">
        <v>723</v>
      </c>
      <c r="N112" s="39" t="s">
        <v>134</v>
      </c>
      <c r="O112" s="37" t="s">
        <v>86</v>
      </c>
      <c r="P112" s="37"/>
      <c r="Q112" s="37" t="s">
        <v>724</v>
      </c>
      <c r="R112" s="37"/>
      <c r="S112" s="37" t="s">
        <v>663</v>
      </c>
      <c r="T112" s="37" t="s">
        <v>136</v>
      </c>
      <c r="U112" s="37" t="s">
        <v>369</v>
      </c>
      <c r="V112" s="40">
        <v>46191.0</v>
      </c>
      <c r="W112" s="41" t="s">
        <v>91</v>
      </c>
    </row>
    <row r="113" ht="15.75" customHeight="1">
      <c r="A113" s="42" t="s">
        <v>725</v>
      </c>
      <c r="B113" s="42" t="s">
        <v>75</v>
      </c>
      <c r="C113" s="42" t="s">
        <v>726</v>
      </c>
      <c r="D113" s="42" t="s">
        <v>77</v>
      </c>
      <c r="E113" s="42"/>
      <c r="F113" s="42" t="s">
        <v>727</v>
      </c>
      <c r="G113" s="42" t="s">
        <v>728</v>
      </c>
      <c r="H113" s="42" t="s">
        <v>221</v>
      </c>
      <c r="I113" s="49" t="s">
        <v>221</v>
      </c>
      <c r="J113" s="42" t="s">
        <v>81</v>
      </c>
      <c r="K113" s="42" t="s">
        <v>152</v>
      </c>
      <c r="L113" s="42" t="s">
        <v>153</v>
      </c>
      <c r="M113" s="42" t="s">
        <v>729</v>
      </c>
      <c r="N113" s="39" t="s">
        <v>134</v>
      </c>
      <c r="O113" s="42" t="s">
        <v>86</v>
      </c>
      <c r="P113" s="42"/>
      <c r="Q113" s="42" t="s">
        <v>730</v>
      </c>
      <c r="R113" s="42"/>
      <c r="S113" s="42" t="s">
        <v>663</v>
      </c>
      <c r="T113" s="42" t="s">
        <v>136</v>
      </c>
      <c r="U113" s="42" t="s">
        <v>369</v>
      </c>
      <c r="V113" s="44">
        <v>46191.0</v>
      </c>
      <c r="W113" s="41" t="s">
        <v>91</v>
      </c>
    </row>
    <row r="114" ht="15.75" customHeight="1">
      <c r="A114" s="37" t="s">
        <v>731</v>
      </c>
      <c r="B114" s="37" t="s">
        <v>732</v>
      </c>
      <c r="C114" s="37" t="s">
        <v>733</v>
      </c>
      <c r="D114" s="37" t="s">
        <v>734</v>
      </c>
      <c r="E114" s="37" t="s">
        <v>735</v>
      </c>
      <c r="F114" s="37" t="s">
        <v>735</v>
      </c>
      <c r="G114" s="37" t="s">
        <v>736</v>
      </c>
      <c r="H114" s="37" t="s">
        <v>221</v>
      </c>
      <c r="I114" s="49" t="s">
        <v>221</v>
      </c>
      <c r="J114" s="37" t="s">
        <v>81</v>
      </c>
      <c r="K114" s="37" t="s">
        <v>737</v>
      </c>
      <c r="L114" s="37" t="s">
        <v>153</v>
      </c>
      <c r="M114" s="37"/>
      <c r="N114" s="39" t="s">
        <v>738</v>
      </c>
      <c r="O114" s="37" t="s">
        <v>86</v>
      </c>
      <c r="P114" s="37"/>
      <c r="Q114" s="37" t="s">
        <v>739</v>
      </c>
      <c r="R114" s="37" t="s">
        <v>740</v>
      </c>
      <c r="S114" s="37"/>
      <c r="T114" s="37" t="s">
        <v>741</v>
      </c>
      <c r="U114" s="37" t="s">
        <v>742</v>
      </c>
      <c r="V114" s="40">
        <v>46191.0</v>
      </c>
      <c r="W114" s="41" t="s">
        <v>91</v>
      </c>
    </row>
    <row r="115" ht="15.75" customHeight="1">
      <c r="A115" s="42" t="s">
        <v>743</v>
      </c>
      <c r="B115" s="42" t="s">
        <v>732</v>
      </c>
      <c r="C115" s="42" t="s">
        <v>744</v>
      </c>
      <c r="D115" s="42" t="s">
        <v>745</v>
      </c>
      <c r="E115" s="42" t="s">
        <v>746</v>
      </c>
      <c r="F115" s="42" t="s">
        <v>747</v>
      </c>
      <c r="G115" s="42" t="s">
        <v>748</v>
      </c>
      <c r="H115" s="42" t="s">
        <v>221</v>
      </c>
      <c r="I115" s="49" t="s">
        <v>221</v>
      </c>
      <c r="J115" s="42" t="s">
        <v>81</v>
      </c>
      <c r="K115" s="42" t="s">
        <v>737</v>
      </c>
      <c r="L115" s="42" t="s">
        <v>153</v>
      </c>
      <c r="M115" s="42"/>
      <c r="N115" s="39" t="s">
        <v>738</v>
      </c>
      <c r="O115" s="42" t="s">
        <v>86</v>
      </c>
      <c r="P115" s="42"/>
      <c r="Q115" s="42" t="s">
        <v>749</v>
      </c>
      <c r="R115" s="42" t="s">
        <v>750</v>
      </c>
      <c r="S115" s="42"/>
      <c r="T115" s="42" t="s">
        <v>741</v>
      </c>
      <c r="U115" s="42" t="s">
        <v>742</v>
      </c>
      <c r="V115" s="44">
        <v>46191.0</v>
      </c>
      <c r="W115" s="41" t="s">
        <v>91</v>
      </c>
    </row>
    <row r="116" ht="15.75" customHeight="1">
      <c r="A116" s="37" t="s">
        <v>751</v>
      </c>
      <c r="B116" s="37" t="s">
        <v>732</v>
      </c>
      <c r="C116" s="37" t="s">
        <v>752</v>
      </c>
      <c r="D116" s="37" t="s">
        <v>753</v>
      </c>
      <c r="E116" s="37" t="s">
        <v>754</v>
      </c>
      <c r="F116" s="37" t="s">
        <v>755</v>
      </c>
      <c r="G116" s="37" t="s">
        <v>756</v>
      </c>
      <c r="H116" s="37" t="s">
        <v>221</v>
      </c>
      <c r="I116" s="49" t="s">
        <v>221</v>
      </c>
      <c r="J116" s="37" t="s">
        <v>757</v>
      </c>
      <c r="K116" s="37" t="s">
        <v>82</v>
      </c>
      <c r="L116" s="37" t="s">
        <v>83</v>
      </c>
      <c r="M116" s="37"/>
      <c r="N116" s="39" t="s">
        <v>738</v>
      </c>
      <c r="O116" s="37" t="s">
        <v>86</v>
      </c>
      <c r="P116" s="37"/>
      <c r="Q116" s="37" t="s">
        <v>758</v>
      </c>
      <c r="R116" s="37" t="s">
        <v>759</v>
      </c>
      <c r="S116" s="37"/>
      <c r="T116" s="37" t="s">
        <v>760</v>
      </c>
      <c r="U116" s="37" t="s">
        <v>742</v>
      </c>
      <c r="V116" s="40">
        <v>46191.0</v>
      </c>
      <c r="W116" s="41" t="s">
        <v>91</v>
      </c>
    </row>
    <row r="117" ht="15.75" customHeight="1">
      <c r="A117" s="42" t="s">
        <v>761</v>
      </c>
      <c r="B117" s="42" t="s">
        <v>732</v>
      </c>
      <c r="C117" s="42" t="s">
        <v>762</v>
      </c>
      <c r="D117" s="42" t="s">
        <v>753</v>
      </c>
      <c r="E117" s="42" t="s">
        <v>746</v>
      </c>
      <c r="F117" s="42" t="s">
        <v>219</v>
      </c>
      <c r="G117" s="42" t="s">
        <v>763</v>
      </c>
      <c r="H117" s="42" t="s">
        <v>221</v>
      </c>
      <c r="I117" s="49" t="s">
        <v>221</v>
      </c>
      <c r="J117" s="42" t="s">
        <v>757</v>
      </c>
      <c r="K117" s="42" t="s">
        <v>82</v>
      </c>
      <c r="L117" s="42" t="s">
        <v>83</v>
      </c>
      <c r="M117" s="42"/>
      <c r="N117" s="39" t="s">
        <v>738</v>
      </c>
      <c r="O117" s="42" t="s">
        <v>86</v>
      </c>
      <c r="P117" s="42"/>
      <c r="Q117" s="42" t="s">
        <v>764</v>
      </c>
      <c r="R117" s="42" t="s">
        <v>765</v>
      </c>
      <c r="S117" s="42" t="s">
        <v>766</v>
      </c>
      <c r="T117" s="42" t="s">
        <v>760</v>
      </c>
      <c r="U117" s="42" t="s">
        <v>767</v>
      </c>
      <c r="V117" s="44">
        <v>46191.0</v>
      </c>
      <c r="W117" s="41" t="s">
        <v>91</v>
      </c>
    </row>
    <row r="118" ht="15.75" customHeight="1">
      <c r="A118" s="37" t="s">
        <v>768</v>
      </c>
      <c r="B118" s="37" t="s">
        <v>732</v>
      </c>
      <c r="C118" s="37" t="s">
        <v>769</v>
      </c>
      <c r="D118" s="37" t="s">
        <v>753</v>
      </c>
      <c r="E118" s="37" t="s">
        <v>746</v>
      </c>
      <c r="F118" s="37" t="s">
        <v>219</v>
      </c>
      <c r="G118" s="37" t="s">
        <v>770</v>
      </c>
      <c r="H118" s="37" t="s">
        <v>221</v>
      </c>
      <c r="I118" s="49" t="s">
        <v>221</v>
      </c>
      <c r="J118" s="37" t="s">
        <v>757</v>
      </c>
      <c r="K118" s="37" t="s">
        <v>82</v>
      </c>
      <c r="L118" s="37" t="s">
        <v>83</v>
      </c>
      <c r="M118" s="37"/>
      <c r="N118" s="39" t="s">
        <v>738</v>
      </c>
      <c r="O118" s="37" t="s">
        <v>86</v>
      </c>
      <c r="P118" s="37"/>
      <c r="Q118" s="37" t="s">
        <v>771</v>
      </c>
      <c r="R118" s="37" t="s">
        <v>772</v>
      </c>
      <c r="S118" s="37" t="s">
        <v>773</v>
      </c>
      <c r="T118" s="37" t="s">
        <v>760</v>
      </c>
      <c r="U118" s="37" t="s">
        <v>767</v>
      </c>
      <c r="V118" s="40">
        <v>46191.0</v>
      </c>
      <c r="W118" s="41" t="s">
        <v>91</v>
      </c>
    </row>
    <row r="119" ht="15.75" customHeight="1">
      <c r="A119" s="42" t="s">
        <v>774</v>
      </c>
      <c r="B119" s="42" t="s">
        <v>732</v>
      </c>
      <c r="C119" s="42" t="s">
        <v>775</v>
      </c>
      <c r="D119" s="42" t="s">
        <v>753</v>
      </c>
      <c r="E119" s="42" t="s">
        <v>746</v>
      </c>
      <c r="F119" s="42" t="s">
        <v>236</v>
      </c>
      <c r="G119" s="42" t="s">
        <v>776</v>
      </c>
      <c r="H119" s="42" t="s">
        <v>221</v>
      </c>
      <c r="I119" s="49" t="s">
        <v>221</v>
      </c>
      <c r="J119" s="42" t="s">
        <v>757</v>
      </c>
      <c r="K119" s="42" t="s">
        <v>82</v>
      </c>
      <c r="L119" s="42" t="s">
        <v>83</v>
      </c>
      <c r="M119" s="42"/>
      <c r="N119" s="39" t="s">
        <v>738</v>
      </c>
      <c r="O119" s="42" t="s">
        <v>86</v>
      </c>
      <c r="P119" s="42"/>
      <c r="Q119" s="42" t="s">
        <v>777</v>
      </c>
      <c r="R119" s="42" t="s">
        <v>778</v>
      </c>
      <c r="S119" s="42" t="s">
        <v>779</v>
      </c>
      <c r="T119" s="42" t="s">
        <v>760</v>
      </c>
      <c r="U119" s="42" t="s">
        <v>767</v>
      </c>
      <c r="V119" s="44">
        <v>46191.0</v>
      </c>
      <c r="W119" s="41" t="s">
        <v>91</v>
      </c>
    </row>
    <row r="120" ht="15.75" customHeight="1">
      <c r="A120" s="37" t="s">
        <v>780</v>
      </c>
      <c r="B120" s="37" t="s">
        <v>732</v>
      </c>
      <c r="C120" s="37" t="s">
        <v>781</v>
      </c>
      <c r="D120" s="37" t="s">
        <v>753</v>
      </c>
      <c r="E120" s="37" t="s">
        <v>746</v>
      </c>
      <c r="F120" s="37" t="s">
        <v>236</v>
      </c>
      <c r="G120" s="37" t="s">
        <v>782</v>
      </c>
      <c r="H120" s="37" t="s">
        <v>221</v>
      </c>
      <c r="I120" s="49" t="s">
        <v>221</v>
      </c>
      <c r="J120" s="37" t="s">
        <v>757</v>
      </c>
      <c r="K120" s="37" t="s">
        <v>82</v>
      </c>
      <c r="L120" s="37" t="s">
        <v>83</v>
      </c>
      <c r="M120" s="37"/>
      <c r="N120" s="39" t="s">
        <v>738</v>
      </c>
      <c r="O120" s="37" t="s">
        <v>86</v>
      </c>
      <c r="P120" s="37"/>
      <c r="Q120" s="37" t="s">
        <v>783</v>
      </c>
      <c r="R120" s="37" t="s">
        <v>784</v>
      </c>
      <c r="S120" s="37" t="s">
        <v>785</v>
      </c>
      <c r="T120" s="37" t="s">
        <v>760</v>
      </c>
      <c r="U120" s="37" t="s">
        <v>767</v>
      </c>
      <c r="V120" s="40">
        <v>46191.0</v>
      </c>
      <c r="W120" s="41" t="s">
        <v>91</v>
      </c>
    </row>
    <row r="121" ht="15.75" customHeight="1">
      <c r="A121" s="42" t="s">
        <v>786</v>
      </c>
      <c r="B121" s="42" t="s">
        <v>732</v>
      </c>
      <c r="C121" s="42" t="s">
        <v>787</v>
      </c>
      <c r="D121" s="42" t="s">
        <v>745</v>
      </c>
      <c r="E121" s="42" t="s">
        <v>746</v>
      </c>
      <c r="F121" s="42" t="s">
        <v>247</v>
      </c>
      <c r="G121" s="42" t="s">
        <v>788</v>
      </c>
      <c r="H121" s="42" t="s">
        <v>221</v>
      </c>
      <c r="I121" s="49" t="s">
        <v>221</v>
      </c>
      <c r="J121" s="42" t="s">
        <v>81</v>
      </c>
      <c r="K121" s="42" t="s">
        <v>82</v>
      </c>
      <c r="L121" s="42" t="s">
        <v>83</v>
      </c>
      <c r="M121" s="42"/>
      <c r="N121" s="39" t="s">
        <v>738</v>
      </c>
      <c r="O121" s="42" t="s">
        <v>86</v>
      </c>
      <c r="P121" s="42"/>
      <c r="Q121" s="42" t="s">
        <v>789</v>
      </c>
      <c r="R121" s="42" t="s">
        <v>790</v>
      </c>
      <c r="S121" s="42"/>
      <c r="T121" s="42" t="s">
        <v>741</v>
      </c>
      <c r="U121" s="42" t="s">
        <v>767</v>
      </c>
      <c r="V121" s="44">
        <v>46191.0</v>
      </c>
      <c r="W121" s="41" t="s">
        <v>91</v>
      </c>
    </row>
    <row r="122" ht="15.75" customHeight="1">
      <c r="A122" s="37" t="s">
        <v>791</v>
      </c>
      <c r="B122" s="37" t="s">
        <v>732</v>
      </c>
      <c r="C122" s="37" t="s">
        <v>792</v>
      </c>
      <c r="D122" s="37" t="s">
        <v>753</v>
      </c>
      <c r="E122" s="37" t="s">
        <v>746</v>
      </c>
      <c r="F122" s="37" t="s">
        <v>247</v>
      </c>
      <c r="G122" s="37" t="s">
        <v>793</v>
      </c>
      <c r="H122" s="37" t="s">
        <v>221</v>
      </c>
      <c r="I122" s="49" t="s">
        <v>221</v>
      </c>
      <c r="J122" s="37" t="s">
        <v>757</v>
      </c>
      <c r="K122" s="37" t="s">
        <v>82</v>
      </c>
      <c r="L122" s="37" t="s">
        <v>83</v>
      </c>
      <c r="M122" s="37"/>
      <c r="N122" s="39" t="s">
        <v>738</v>
      </c>
      <c r="O122" s="37" t="s">
        <v>86</v>
      </c>
      <c r="P122" s="37"/>
      <c r="Q122" s="37" t="s">
        <v>794</v>
      </c>
      <c r="R122" s="37" t="s">
        <v>795</v>
      </c>
      <c r="S122" s="37" t="s">
        <v>796</v>
      </c>
      <c r="T122" s="37" t="s">
        <v>760</v>
      </c>
      <c r="U122" s="37" t="s">
        <v>767</v>
      </c>
      <c r="V122" s="40">
        <v>46191.0</v>
      </c>
      <c r="W122" s="41" t="s">
        <v>91</v>
      </c>
    </row>
    <row r="123" ht="15.75" customHeight="1">
      <c r="A123" s="42" t="s">
        <v>797</v>
      </c>
      <c r="B123" s="42" t="s">
        <v>732</v>
      </c>
      <c r="C123" s="42" t="s">
        <v>798</v>
      </c>
      <c r="D123" s="42" t="s">
        <v>753</v>
      </c>
      <c r="E123" s="42" t="s">
        <v>746</v>
      </c>
      <c r="F123" s="42" t="s">
        <v>274</v>
      </c>
      <c r="G123" s="42" t="s">
        <v>799</v>
      </c>
      <c r="H123" s="42" t="s">
        <v>221</v>
      </c>
      <c r="I123" s="49" t="s">
        <v>221</v>
      </c>
      <c r="J123" s="42" t="s">
        <v>757</v>
      </c>
      <c r="K123" s="42" t="s">
        <v>82</v>
      </c>
      <c r="L123" s="42" t="s">
        <v>83</v>
      </c>
      <c r="M123" s="42"/>
      <c r="N123" s="39" t="s">
        <v>738</v>
      </c>
      <c r="O123" s="42" t="s">
        <v>86</v>
      </c>
      <c r="P123" s="42"/>
      <c r="Q123" s="42" t="s">
        <v>800</v>
      </c>
      <c r="R123" s="42" t="s">
        <v>801</v>
      </c>
      <c r="S123" s="42" t="s">
        <v>802</v>
      </c>
      <c r="T123" s="42" t="s">
        <v>760</v>
      </c>
      <c r="U123" s="42" t="s">
        <v>767</v>
      </c>
      <c r="V123" s="44">
        <v>46191.0</v>
      </c>
      <c r="W123" s="41" t="s">
        <v>91</v>
      </c>
    </row>
    <row r="124" ht="15.75" customHeight="1">
      <c r="A124" s="37" t="s">
        <v>803</v>
      </c>
      <c r="B124" s="37" t="s">
        <v>732</v>
      </c>
      <c r="C124" s="37" t="s">
        <v>804</v>
      </c>
      <c r="D124" s="37" t="s">
        <v>753</v>
      </c>
      <c r="E124" s="37" t="s">
        <v>746</v>
      </c>
      <c r="F124" s="37" t="s">
        <v>290</v>
      </c>
      <c r="G124" s="37" t="s">
        <v>805</v>
      </c>
      <c r="H124" s="37" t="s">
        <v>221</v>
      </c>
      <c r="I124" s="49" t="s">
        <v>221</v>
      </c>
      <c r="J124" s="37" t="s">
        <v>757</v>
      </c>
      <c r="K124" s="37" t="s">
        <v>82</v>
      </c>
      <c r="L124" s="37" t="s">
        <v>83</v>
      </c>
      <c r="M124" s="37"/>
      <c r="N124" s="39" t="s">
        <v>738</v>
      </c>
      <c r="O124" s="37" t="s">
        <v>86</v>
      </c>
      <c r="P124" s="37"/>
      <c r="Q124" s="37" t="s">
        <v>806</v>
      </c>
      <c r="R124" s="37" t="s">
        <v>807</v>
      </c>
      <c r="S124" s="37" t="s">
        <v>808</v>
      </c>
      <c r="T124" s="37" t="s">
        <v>760</v>
      </c>
      <c r="U124" s="37" t="s">
        <v>767</v>
      </c>
      <c r="V124" s="40">
        <v>46191.0</v>
      </c>
      <c r="W124" s="41" t="s">
        <v>91</v>
      </c>
    </row>
    <row r="125" ht="15.75" customHeight="1">
      <c r="A125" s="42" t="s">
        <v>809</v>
      </c>
      <c r="B125" s="42" t="s">
        <v>732</v>
      </c>
      <c r="C125" s="42" t="s">
        <v>810</v>
      </c>
      <c r="D125" s="42" t="s">
        <v>753</v>
      </c>
      <c r="E125" s="42" t="s">
        <v>746</v>
      </c>
      <c r="F125" s="42" t="s">
        <v>306</v>
      </c>
      <c r="G125" s="42" t="s">
        <v>811</v>
      </c>
      <c r="H125" s="42" t="s">
        <v>221</v>
      </c>
      <c r="I125" s="49" t="s">
        <v>221</v>
      </c>
      <c r="J125" s="42" t="s">
        <v>757</v>
      </c>
      <c r="K125" s="42" t="s">
        <v>82</v>
      </c>
      <c r="L125" s="42" t="s">
        <v>83</v>
      </c>
      <c r="M125" s="42"/>
      <c r="N125" s="39" t="s">
        <v>738</v>
      </c>
      <c r="O125" s="42" t="s">
        <v>86</v>
      </c>
      <c r="P125" s="42"/>
      <c r="Q125" s="42" t="s">
        <v>812</v>
      </c>
      <c r="R125" s="42" t="s">
        <v>813</v>
      </c>
      <c r="S125" s="42" t="s">
        <v>814</v>
      </c>
      <c r="T125" s="42" t="s">
        <v>760</v>
      </c>
      <c r="U125" s="42" t="s">
        <v>767</v>
      </c>
      <c r="V125" s="44">
        <v>46191.0</v>
      </c>
      <c r="W125" s="41" t="s">
        <v>91</v>
      </c>
    </row>
    <row r="126" ht="15.75" customHeight="1">
      <c r="A126" s="37" t="s">
        <v>815</v>
      </c>
      <c r="B126" s="37" t="s">
        <v>732</v>
      </c>
      <c r="C126" s="37" t="s">
        <v>816</v>
      </c>
      <c r="D126" s="37" t="s">
        <v>753</v>
      </c>
      <c r="E126" s="37" t="s">
        <v>746</v>
      </c>
      <c r="F126" s="37" t="s">
        <v>322</v>
      </c>
      <c r="G126" s="37" t="s">
        <v>817</v>
      </c>
      <c r="H126" s="37" t="s">
        <v>221</v>
      </c>
      <c r="I126" s="49" t="s">
        <v>221</v>
      </c>
      <c r="J126" s="37" t="s">
        <v>757</v>
      </c>
      <c r="K126" s="37" t="s">
        <v>82</v>
      </c>
      <c r="L126" s="37" t="s">
        <v>83</v>
      </c>
      <c r="M126" s="37"/>
      <c r="N126" s="39" t="s">
        <v>738</v>
      </c>
      <c r="O126" s="37" t="s">
        <v>86</v>
      </c>
      <c r="P126" s="37"/>
      <c r="Q126" s="37" t="s">
        <v>818</v>
      </c>
      <c r="R126" s="37" t="s">
        <v>819</v>
      </c>
      <c r="S126" s="37" t="s">
        <v>820</v>
      </c>
      <c r="T126" s="37" t="s">
        <v>760</v>
      </c>
      <c r="U126" s="37" t="s">
        <v>767</v>
      </c>
      <c r="V126" s="40">
        <v>46191.0</v>
      </c>
      <c r="W126" s="41" t="s">
        <v>91</v>
      </c>
    </row>
    <row r="127" ht="15.75" customHeight="1">
      <c r="A127" s="42" t="s">
        <v>821</v>
      </c>
      <c r="B127" s="42" t="s">
        <v>732</v>
      </c>
      <c r="C127" s="42" t="s">
        <v>822</v>
      </c>
      <c r="D127" s="42" t="s">
        <v>745</v>
      </c>
      <c r="E127" s="42" t="s">
        <v>746</v>
      </c>
      <c r="F127" s="42" t="s">
        <v>747</v>
      </c>
      <c r="G127" s="42" t="s">
        <v>823</v>
      </c>
      <c r="H127" s="42" t="s">
        <v>221</v>
      </c>
      <c r="I127" s="49" t="s">
        <v>221</v>
      </c>
      <c r="J127" s="42" t="s">
        <v>757</v>
      </c>
      <c r="K127" s="42" t="s">
        <v>82</v>
      </c>
      <c r="L127" s="42" t="s">
        <v>83</v>
      </c>
      <c r="M127" s="42"/>
      <c r="N127" s="39" t="s">
        <v>738</v>
      </c>
      <c r="O127" s="42" t="s">
        <v>86</v>
      </c>
      <c r="P127" s="42"/>
      <c r="Q127" s="42" t="s">
        <v>824</v>
      </c>
      <c r="R127" s="42" t="s">
        <v>825</v>
      </c>
      <c r="S127" s="42"/>
      <c r="T127" s="42" t="s">
        <v>760</v>
      </c>
      <c r="U127" s="42" t="s">
        <v>767</v>
      </c>
      <c r="V127" s="44">
        <v>46191.0</v>
      </c>
      <c r="W127" s="41" t="s">
        <v>91</v>
      </c>
    </row>
    <row r="128" ht="15.75" customHeight="1">
      <c r="A128" s="37" t="s">
        <v>826</v>
      </c>
      <c r="B128" s="37" t="s">
        <v>732</v>
      </c>
      <c r="C128" s="37" t="s">
        <v>827</v>
      </c>
      <c r="D128" s="37" t="s">
        <v>753</v>
      </c>
      <c r="E128" s="37" t="s">
        <v>746</v>
      </c>
      <c r="F128" s="37" t="s">
        <v>349</v>
      </c>
      <c r="G128" s="37" t="s">
        <v>828</v>
      </c>
      <c r="H128" s="37" t="s">
        <v>221</v>
      </c>
      <c r="I128" s="49" t="s">
        <v>221</v>
      </c>
      <c r="J128" s="37" t="s">
        <v>757</v>
      </c>
      <c r="K128" s="37" t="s">
        <v>82</v>
      </c>
      <c r="L128" s="37" t="s">
        <v>83</v>
      </c>
      <c r="M128" s="37"/>
      <c r="N128" s="39" t="s">
        <v>738</v>
      </c>
      <c r="O128" s="37" t="s">
        <v>86</v>
      </c>
      <c r="P128" s="37"/>
      <c r="Q128" s="37" t="s">
        <v>829</v>
      </c>
      <c r="R128" s="37" t="s">
        <v>830</v>
      </c>
      <c r="S128" s="37" t="s">
        <v>831</v>
      </c>
      <c r="T128" s="37" t="s">
        <v>760</v>
      </c>
      <c r="U128" s="37" t="s">
        <v>767</v>
      </c>
      <c r="V128" s="40">
        <v>46191.0</v>
      </c>
      <c r="W128" s="41" t="s">
        <v>91</v>
      </c>
    </row>
    <row r="129" ht="15.75" customHeight="1">
      <c r="A129" s="42" t="s">
        <v>832</v>
      </c>
      <c r="B129" s="42" t="s">
        <v>732</v>
      </c>
      <c r="C129" s="42" t="s">
        <v>833</v>
      </c>
      <c r="D129" s="42" t="s">
        <v>753</v>
      </c>
      <c r="E129" s="42" t="s">
        <v>746</v>
      </c>
      <c r="F129" s="42" t="s">
        <v>834</v>
      </c>
      <c r="G129" s="42" t="s">
        <v>835</v>
      </c>
      <c r="H129" s="42" t="s">
        <v>221</v>
      </c>
      <c r="I129" s="49" t="s">
        <v>221</v>
      </c>
      <c r="J129" s="42" t="s">
        <v>81</v>
      </c>
      <c r="K129" s="42" t="s">
        <v>82</v>
      </c>
      <c r="L129" s="42" t="s">
        <v>83</v>
      </c>
      <c r="M129" s="42"/>
      <c r="N129" s="39" t="s">
        <v>738</v>
      </c>
      <c r="O129" s="42" t="s">
        <v>86</v>
      </c>
      <c r="P129" s="42"/>
      <c r="Q129" s="42" t="s">
        <v>836</v>
      </c>
      <c r="R129" s="42" t="s">
        <v>837</v>
      </c>
      <c r="S129" s="42"/>
      <c r="T129" s="42" t="s">
        <v>741</v>
      </c>
      <c r="U129" s="42" t="s">
        <v>767</v>
      </c>
      <c r="V129" s="44">
        <v>46191.0</v>
      </c>
      <c r="W129" s="41" t="s">
        <v>91</v>
      </c>
    </row>
    <row r="130" ht="15.75" customHeight="1">
      <c r="A130" s="37" t="s">
        <v>838</v>
      </c>
      <c r="B130" s="37" t="s">
        <v>732</v>
      </c>
      <c r="C130" s="37" t="s">
        <v>839</v>
      </c>
      <c r="D130" s="37" t="s">
        <v>753</v>
      </c>
      <c r="E130" s="37" t="s">
        <v>746</v>
      </c>
      <c r="F130" s="37" t="s">
        <v>377</v>
      </c>
      <c r="G130" s="37" t="s">
        <v>840</v>
      </c>
      <c r="H130" s="37" t="s">
        <v>221</v>
      </c>
      <c r="I130" s="49" t="s">
        <v>221</v>
      </c>
      <c r="J130" s="37" t="s">
        <v>757</v>
      </c>
      <c r="K130" s="37" t="s">
        <v>115</v>
      </c>
      <c r="L130" s="37" t="s">
        <v>116</v>
      </c>
      <c r="M130" s="37"/>
      <c r="N130" s="39" t="s">
        <v>738</v>
      </c>
      <c r="O130" s="37" t="s">
        <v>86</v>
      </c>
      <c r="P130" s="37"/>
      <c r="Q130" s="37" t="s">
        <v>841</v>
      </c>
      <c r="R130" s="37" t="s">
        <v>842</v>
      </c>
      <c r="S130" s="37" t="s">
        <v>843</v>
      </c>
      <c r="T130" s="37" t="s">
        <v>760</v>
      </c>
      <c r="U130" s="37" t="s">
        <v>767</v>
      </c>
      <c r="V130" s="40">
        <v>46191.0</v>
      </c>
      <c r="W130" s="41" t="s">
        <v>100</v>
      </c>
    </row>
    <row r="131" ht="15.75" customHeight="1">
      <c r="A131" s="42" t="s">
        <v>844</v>
      </c>
      <c r="B131" s="42" t="s">
        <v>732</v>
      </c>
      <c r="C131" s="42" t="s">
        <v>845</v>
      </c>
      <c r="D131" s="42" t="s">
        <v>753</v>
      </c>
      <c r="E131" s="42" t="s">
        <v>746</v>
      </c>
      <c r="F131" s="42" t="s">
        <v>389</v>
      </c>
      <c r="G131" s="42" t="s">
        <v>846</v>
      </c>
      <c r="H131" s="42" t="s">
        <v>221</v>
      </c>
      <c r="I131" s="49" t="s">
        <v>221</v>
      </c>
      <c r="J131" s="42" t="s">
        <v>757</v>
      </c>
      <c r="K131" s="42" t="s">
        <v>82</v>
      </c>
      <c r="L131" s="42" t="s">
        <v>83</v>
      </c>
      <c r="M131" s="42"/>
      <c r="N131" s="39" t="s">
        <v>738</v>
      </c>
      <c r="O131" s="42" t="s">
        <v>86</v>
      </c>
      <c r="P131" s="42"/>
      <c r="Q131" s="42" t="s">
        <v>847</v>
      </c>
      <c r="R131" s="42" t="s">
        <v>848</v>
      </c>
      <c r="S131" s="42" t="s">
        <v>849</v>
      </c>
      <c r="T131" s="42" t="s">
        <v>760</v>
      </c>
      <c r="U131" s="42" t="s">
        <v>767</v>
      </c>
      <c r="V131" s="44">
        <v>46191.0</v>
      </c>
      <c r="W131" s="41" t="s">
        <v>91</v>
      </c>
    </row>
    <row r="132" ht="15.75" customHeight="1">
      <c r="A132" s="37" t="s">
        <v>850</v>
      </c>
      <c r="B132" s="37" t="s">
        <v>732</v>
      </c>
      <c r="C132" s="37" t="s">
        <v>851</v>
      </c>
      <c r="D132" s="37" t="s">
        <v>753</v>
      </c>
      <c r="E132" s="37" t="s">
        <v>746</v>
      </c>
      <c r="F132" s="37" t="s">
        <v>405</v>
      </c>
      <c r="G132" s="37" t="s">
        <v>852</v>
      </c>
      <c r="H132" s="37" t="s">
        <v>221</v>
      </c>
      <c r="I132" s="49" t="s">
        <v>221</v>
      </c>
      <c r="J132" s="37" t="s">
        <v>757</v>
      </c>
      <c r="K132" s="37" t="s">
        <v>82</v>
      </c>
      <c r="L132" s="37" t="s">
        <v>83</v>
      </c>
      <c r="M132" s="37"/>
      <c r="N132" s="39" t="s">
        <v>738</v>
      </c>
      <c r="O132" s="37" t="s">
        <v>86</v>
      </c>
      <c r="P132" s="37"/>
      <c r="Q132" s="37" t="s">
        <v>853</v>
      </c>
      <c r="R132" s="37" t="s">
        <v>854</v>
      </c>
      <c r="S132" s="37" t="s">
        <v>855</v>
      </c>
      <c r="T132" s="37" t="s">
        <v>760</v>
      </c>
      <c r="U132" s="37" t="s">
        <v>767</v>
      </c>
      <c r="V132" s="40">
        <v>46191.0</v>
      </c>
      <c r="W132" s="41" t="s">
        <v>91</v>
      </c>
    </row>
    <row r="133" ht="15.75" customHeight="1">
      <c r="A133" s="42" t="s">
        <v>856</v>
      </c>
      <c r="B133" s="42" t="s">
        <v>732</v>
      </c>
      <c r="C133" s="42" t="s">
        <v>857</v>
      </c>
      <c r="D133" s="42" t="s">
        <v>753</v>
      </c>
      <c r="E133" s="42" t="s">
        <v>858</v>
      </c>
      <c r="F133" s="42" t="s">
        <v>427</v>
      </c>
      <c r="G133" s="42" t="s">
        <v>859</v>
      </c>
      <c r="H133" s="42" t="s">
        <v>221</v>
      </c>
      <c r="I133" s="49" t="s">
        <v>221</v>
      </c>
      <c r="J133" s="42" t="s">
        <v>757</v>
      </c>
      <c r="K133" s="42" t="s">
        <v>82</v>
      </c>
      <c r="L133" s="42" t="s">
        <v>83</v>
      </c>
      <c r="M133" s="42"/>
      <c r="N133" s="39" t="s">
        <v>738</v>
      </c>
      <c r="O133" s="42" t="s">
        <v>86</v>
      </c>
      <c r="P133" s="42"/>
      <c r="Q133" s="42" t="s">
        <v>860</v>
      </c>
      <c r="R133" s="42" t="s">
        <v>861</v>
      </c>
      <c r="S133" s="42"/>
      <c r="T133" s="42" t="s">
        <v>760</v>
      </c>
      <c r="U133" s="42" t="s">
        <v>767</v>
      </c>
      <c r="V133" s="44">
        <v>46191.0</v>
      </c>
      <c r="W133" s="41" t="s">
        <v>91</v>
      </c>
    </row>
    <row r="134" ht="15.75" customHeight="1">
      <c r="A134" s="37" t="s">
        <v>862</v>
      </c>
      <c r="B134" s="37" t="s">
        <v>732</v>
      </c>
      <c r="C134" s="37" t="s">
        <v>863</v>
      </c>
      <c r="D134" s="37" t="s">
        <v>753</v>
      </c>
      <c r="E134" s="37" t="s">
        <v>858</v>
      </c>
      <c r="F134" s="37" t="s">
        <v>438</v>
      </c>
      <c r="G134" s="37" t="s">
        <v>864</v>
      </c>
      <c r="H134" s="37" t="s">
        <v>221</v>
      </c>
      <c r="I134" s="49" t="s">
        <v>221</v>
      </c>
      <c r="J134" s="37" t="s">
        <v>757</v>
      </c>
      <c r="K134" s="37" t="s">
        <v>865</v>
      </c>
      <c r="L134" s="37" t="s">
        <v>669</v>
      </c>
      <c r="M134" s="37"/>
      <c r="N134" s="39" t="s">
        <v>738</v>
      </c>
      <c r="O134" s="37" t="s">
        <v>86</v>
      </c>
      <c r="P134" s="37"/>
      <c r="Q134" s="37" t="s">
        <v>866</v>
      </c>
      <c r="R134" s="37" t="s">
        <v>867</v>
      </c>
      <c r="S134" s="37"/>
      <c r="T134" s="37" t="s">
        <v>760</v>
      </c>
      <c r="U134" s="37" t="s">
        <v>767</v>
      </c>
      <c r="V134" s="40">
        <v>46191.0</v>
      </c>
      <c r="W134" s="41" t="s">
        <v>100</v>
      </c>
    </row>
    <row r="135" ht="15.75" customHeight="1">
      <c r="A135" s="42" t="s">
        <v>868</v>
      </c>
      <c r="B135" s="42" t="s">
        <v>732</v>
      </c>
      <c r="C135" s="42" t="s">
        <v>869</v>
      </c>
      <c r="D135" s="42" t="s">
        <v>753</v>
      </c>
      <c r="E135" s="42" t="s">
        <v>858</v>
      </c>
      <c r="F135" s="42" t="s">
        <v>494</v>
      </c>
      <c r="G135" s="42" t="s">
        <v>870</v>
      </c>
      <c r="H135" s="42" t="s">
        <v>221</v>
      </c>
      <c r="I135" s="49" t="s">
        <v>221</v>
      </c>
      <c r="J135" s="42" t="s">
        <v>757</v>
      </c>
      <c r="K135" s="42" t="s">
        <v>865</v>
      </c>
      <c r="L135" s="42" t="s">
        <v>669</v>
      </c>
      <c r="M135" s="42"/>
      <c r="N135" s="39" t="s">
        <v>738</v>
      </c>
      <c r="O135" s="42" t="s">
        <v>86</v>
      </c>
      <c r="P135" s="42"/>
      <c r="Q135" s="42" t="s">
        <v>871</v>
      </c>
      <c r="R135" s="42" t="s">
        <v>872</v>
      </c>
      <c r="S135" s="42"/>
      <c r="T135" s="42" t="s">
        <v>760</v>
      </c>
      <c r="U135" s="42" t="s">
        <v>767</v>
      </c>
      <c r="V135" s="44">
        <v>46191.0</v>
      </c>
      <c r="W135" s="41" t="s">
        <v>100</v>
      </c>
    </row>
    <row r="136" ht="15.75" customHeight="1">
      <c r="A136" s="37" t="s">
        <v>873</v>
      </c>
      <c r="B136" s="37" t="s">
        <v>732</v>
      </c>
      <c r="C136" s="37" t="s">
        <v>874</v>
      </c>
      <c r="D136" s="37" t="s">
        <v>753</v>
      </c>
      <c r="E136" s="37" t="s">
        <v>858</v>
      </c>
      <c r="F136" s="37" t="s">
        <v>505</v>
      </c>
      <c r="G136" s="37" t="s">
        <v>875</v>
      </c>
      <c r="H136" s="37" t="s">
        <v>221</v>
      </c>
      <c r="I136" s="49" t="s">
        <v>221</v>
      </c>
      <c r="J136" s="37" t="s">
        <v>757</v>
      </c>
      <c r="K136" s="37" t="s">
        <v>865</v>
      </c>
      <c r="L136" s="37" t="s">
        <v>669</v>
      </c>
      <c r="M136" s="37"/>
      <c r="N136" s="39" t="s">
        <v>738</v>
      </c>
      <c r="O136" s="37" t="s">
        <v>86</v>
      </c>
      <c r="P136" s="37"/>
      <c r="Q136" s="37" t="s">
        <v>876</v>
      </c>
      <c r="R136" s="37" t="s">
        <v>877</v>
      </c>
      <c r="S136" s="37"/>
      <c r="T136" s="37" t="s">
        <v>760</v>
      </c>
      <c r="U136" s="37" t="s">
        <v>767</v>
      </c>
      <c r="V136" s="40">
        <v>46191.0</v>
      </c>
      <c r="W136" s="41" t="s">
        <v>100</v>
      </c>
    </row>
    <row r="137" ht="15.75" customHeight="1">
      <c r="A137" s="42" t="s">
        <v>878</v>
      </c>
      <c r="B137" s="42" t="s">
        <v>732</v>
      </c>
      <c r="C137" s="42" t="s">
        <v>879</v>
      </c>
      <c r="D137" s="42" t="s">
        <v>753</v>
      </c>
      <c r="E137" s="42" t="s">
        <v>858</v>
      </c>
      <c r="F137" s="42" t="s">
        <v>559</v>
      </c>
      <c r="G137" s="42" t="s">
        <v>880</v>
      </c>
      <c r="H137" s="42" t="s">
        <v>221</v>
      </c>
      <c r="I137" s="49" t="s">
        <v>221</v>
      </c>
      <c r="J137" s="42" t="s">
        <v>757</v>
      </c>
      <c r="K137" s="42" t="s">
        <v>82</v>
      </c>
      <c r="L137" s="42" t="s">
        <v>83</v>
      </c>
      <c r="M137" s="42"/>
      <c r="N137" s="39" t="s">
        <v>738</v>
      </c>
      <c r="O137" s="42" t="s">
        <v>86</v>
      </c>
      <c r="P137" s="42"/>
      <c r="Q137" s="42" t="s">
        <v>881</v>
      </c>
      <c r="R137" s="42" t="s">
        <v>882</v>
      </c>
      <c r="S137" s="42"/>
      <c r="T137" s="42" t="s">
        <v>760</v>
      </c>
      <c r="U137" s="42" t="s">
        <v>767</v>
      </c>
      <c r="V137" s="44">
        <v>46191.0</v>
      </c>
      <c r="W137" s="41" t="s">
        <v>91</v>
      </c>
    </row>
    <row r="138" ht="15.75" customHeight="1">
      <c r="A138" s="37" t="s">
        <v>883</v>
      </c>
      <c r="B138" s="37" t="s">
        <v>732</v>
      </c>
      <c r="C138" s="37" t="s">
        <v>884</v>
      </c>
      <c r="D138" s="37" t="s">
        <v>753</v>
      </c>
      <c r="E138" s="37" t="s">
        <v>885</v>
      </c>
      <c r="F138" s="37" t="s">
        <v>625</v>
      </c>
      <c r="G138" s="37" t="s">
        <v>886</v>
      </c>
      <c r="H138" s="37" t="s">
        <v>221</v>
      </c>
      <c r="I138" s="49" t="s">
        <v>221</v>
      </c>
      <c r="J138" s="37" t="s">
        <v>757</v>
      </c>
      <c r="K138" s="37" t="s">
        <v>82</v>
      </c>
      <c r="L138" s="37" t="s">
        <v>83</v>
      </c>
      <c r="M138" s="37"/>
      <c r="N138" s="39" t="s">
        <v>738</v>
      </c>
      <c r="O138" s="37" t="s">
        <v>86</v>
      </c>
      <c r="P138" s="37"/>
      <c r="Q138" s="37" t="s">
        <v>887</v>
      </c>
      <c r="R138" s="37" t="s">
        <v>888</v>
      </c>
      <c r="S138" s="37" t="s">
        <v>889</v>
      </c>
      <c r="T138" s="37" t="s">
        <v>760</v>
      </c>
      <c r="U138" s="37" t="s">
        <v>890</v>
      </c>
      <c r="V138" s="40">
        <v>46191.0</v>
      </c>
      <c r="W138" s="41" t="s">
        <v>91</v>
      </c>
    </row>
    <row r="139" ht="15.75" customHeight="1">
      <c r="A139" s="42" t="s">
        <v>891</v>
      </c>
      <c r="B139" s="42" t="s">
        <v>732</v>
      </c>
      <c r="C139" s="42" t="s">
        <v>892</v>
      </c>
      <c r="D139" s="42" t="s">
        <v>753</v>
      </c>
      <c r="E139" s="42" t="s">
        <v>885</v>
      </c>
      <c r="F139" s="42" t="s">
        <v>648</v>
      </c>
      <c r="G139" s="42" t="s">
        <v>893</v>
      </c>
      <c r="H139" s="42" t="s">
        <v>221</v>
      </c>
      <c r="I139" s="49" t="s">
        <v>221</v>
      </c>
      <c r="J139" s="42" t="s">
        <v>757</v>
      </c>
      <c r="K139" s="42" t="s">
        <v>82</v>
      </c>
      <c r="L139" s="42" t="s">
        <v>83</v>
      </c>
      <c r="M139" s="42"/>
      <c r="N139" s="39" t="s">
        <v>738</v>
      </c>
      <c r="O139" s="42" t="s">
        <v>86</v>
      </c>
      <c r="P139" s="42"/>
      <c r="Q139" s="42" t="s">
        <v>894</v>
      </c>
      <c r="R139" s="42" t="s">
        <v>895</v>
      </c>
      <c r="S139" s="42" t="s">
        <v>896</v>
      </c>
      <c r="T139" s="42" t="s">
        <v>760</v>
      </c>
      <c r="U139" s="42" t="s">
        <v>890</v>
      </c>
      <c r="V139" s="44">
        <v>46191.0</v>
      </c>
      <c r="W139" s="41" t="s">
        <v>91</v>
      </c>
    </row>
    <row r="140" ht="15.75" customHeight="1">
      <c r="A140" s="37" t="s">
        <v>897</v>
      </c>
      <c r="B140" s="37" t="s">
        <v>732</v>
      </c>
      <c r="C140" s="37" t="s">
        <v>898</v>
      </c>
      <c r="D140" s="37" t="s">
        <v>753</v>
      </c>
      <c r="E140" s="37" t="s">
        <v>885</v>
      </c>
      <c r="F140" s="37" t="s">
        <v>648</v>
      </c>
      <c r="G140" s="37" t="s">
        <v>899</v>
      </c>
      <c r="H140" s="37" t="s">
        <v>221</v>
      </c>
      <c r="I140" s="49" t="s">
        <v>221</v>
      </c>
      <c r="J140" s="37" t="s">
        <v>757</v>
      </c>
      <c r="K140" s="37" t="s">
        <v>82</v>
      </c>
      <c r="L140" s="37" t="s">
        <v>83</v>
      </c>
      <c r="M140" s="37"/>
      <c r="N140" s="39" t="s">
        <v>738</v>
      </c>
      <c r="O140" s="37" t="s">
        <v>86</v>
      </c>
      <c r="P140" s="37"/>
      <c r="Q140" s="37" t="s">
        <v>900</v>
      </c>
      <c r="R140" s="37" t="s">
        <v>901</v>
      </c>
      <c r="S140" s="37" t="s">
        <v>896</v>
      </c>
      <c r="T140" s="37" t="s">
        <v>760</v>
      </c>
      <c r="U140" s="37" t="s">
        <v>890</v>
      </c>
      <c r="V140" s="40">
        <v>46191.0</v>
      </c>
      <c r="W140" s="41" t="s">
        <v>91</v>
      </c>
    </row>
    <row r="141" ht="15.75" customHeight="1">
      <c r="A141" s="42" t="s">
        <v>902</v>
      </c>
      <c r="B141" s="42" t="s">
        <v>732</v>
      </c>
      <c r="C141" s="42" t="s">
        <v>903</v>
      </c>
      <c r="D141" s="42" t="s">
        <v>753</v>
      </c>
      <c r="E141" s="42" t="s">
        <v>885</v>
      </c>
      <c r="F141" s="42" t="s">
        <v>648</v>
      </c>
      <c r="G141" s="42" t="s">
        <v>904</v>
      </c>
      <c r="H141" s="42" t="s">
        <v>221</v>
      </c>
      <c r="I141" s="49" t="s">
        <v>221</v>
      </c>
      <c r="J141" s="42" t="s">
        <v>757</v>
      </c>
      <c r="K141" s="42" t="s">
        <v>82</v>
      </c>
      <c r="L141" s="42" t="s">
        <v>83</v>
      </c>
      <c r="M141" s="42"/>
      <c r="N141" s="39" t="s">
        <v>738</v>
      </c>
      <c r="O141" s="42" t="s">
        <v>86</v>
      </c>
      <c r="P141" s="42"/>
      <c r="Q141" s="42" t="s">
        <v>905</v>
      </c>
      <c r="R141" s="42" t="s">
        <v>906</v>
      </c>
      <c r="S141" s="42" t="s">
        <v>896</v>
      </c>
      <c r="T141" s="42" t="s">
        <v>760</v>
      </c>
      <c r="U141" s="42" t="s">
        <v>890</v>
      </c>
      <c r="V141" s="44">
        <v>46191.0</v>
      </c>
      <c r="W141" s="41" t="s">
        <v>91</v>
      </c>
    </row>
    <row r="142" ht="15.75" customHeight="1">
      <c r="A142" s="37" t="s">
        <v>907</v>
      </c>
      <c r="B142" s="37" t="s">
        <v>732</v>
      </c>
      <c r="C142" s="37" t="s">
        <v>908</v>
      </c>
      <c r="D142" s="37" t="s">
        <v>753</v>
      </c>
      <c r="E142" s="37" t="s">
        <v>885</v>
      </c>
      <c r="F142" s="37" t="s">
        <v>648</v>
      </c>
      <c r="G142" s="37" t="s">
        <v>909</v>
      </c>
      <c r="H142" s="37" t="s">
        <v>221</v>
      </c>
      <c r="I142" s="49" t="s">
        <v>221</v>
      </c>
      <c r="J142" s="37" t="s">
        <v>757</v>
      </c>
      <c r="K142" s="37" t="s">
        <v>737</v>
      </c>
      <c r="L142" s="37" t="s">
        <v>153</v>
      </c>
      <c r="M142" s="37"/>
      <c r="N142" s="39" t="s">
        <v>738</v>
      </c>
      <c r="O142" s="37" t="s">
        <v>86</v>
      </c>
      <c r="P142" s="37"/>
      <c r="Q142" s="37" t="s">
        <v>910</v>
      </c>
      <c r="R142" s="37" t="s">
        <v>911</v>
      </c>
      <c r="S142" s="37" t="s">
        <v>896</v>
      </c>
      <c r="T142" s="37" t="s">
        <v>760</v>
      </c>
      <c r="U142" s="37" t="s">
        <v>890</v>
      </c>
      <c r="V142" s="40">
        <v>46191.0</v>
      </c>
      <c r="W142" s="41" t="s">
        <v>91</v>
      </c>
    </row>
    <row r="143" ht="15.75" customHeight="1">
      <c r="A143" s="42" t="s">
        <v>912</v>
      </c>
      <c r="B143" s="42" t="s">
        <v>732</v>
      </c>
      <c r="C143" s="42" t="s">
        <v>913</v>
      </c>
      <c r="D143" s="42" t="s">
        <v>753</v>
      </c>
      <c r="E143" s="42" t="s">
        <v>885</v>
      </c>
      <c r="F143" s="42" t="s">
        <v>648</v>
      </c>
      <c r="G143" s="42" t="s">
        <v>914</v>
      </c>
      <c r="H143" s="42" t="s">
        <v>221</v>
      </c>
      <c r="I143" s="49" t="s">
        <v>221</v>
      </c>
      <c r="J143" s="42" t="s">
        <v>757</v>
      </c>
      <c r="K143" s="42" t="s">
        <v>82</v>
      </c>
      <c r="L143" s="42" t="s">
        <v>83</v>
      </c>
      <c r="M143" s="42"/>
      <c r="N143" s="39" t="s">
        <v>738</v>
      </c>
      <c r="O143" s="42" t="s">
        <v>86</v>
      </c>
      <c r="P143" s="42"/>
      <c r="Q143" s="42" t="s">
        <v>915</v>
      </c>
      <c r="R143" s="42" t="s">
        <v>916</v>
      </c>
      <c r="S143" s="42" t="s">
        <v>917</v>
      </c>
      <c r="T143" s="42" t="s">
        <v>760</v>
      </c>
      <c r="U143" s="42" t="s">
        <v>890</v>
      </c>
      <c r="V143" s="44">
        <v>46191.0</v>
      </c>
      <c r="W143" s="41" t="s">
        <v>91</v>
      </c>
    </row>
    <row r="144" ht="15.75" customHeight="1">
      <c r="A144" s="37" t="s">
        <v>918</v>
      </c>
      <c r="B144" s="37" t="s">
        <v>732</v>
      </c>
      <c r="C144" s="37" t="s">
        <v>919</v>
      </c>
      <c r="D144" s="37" t="s">
        <v>920</v>
      </c>
      <c r="E144" s="37" t="s">
        <v>885</v>
      </c>
      <c r="F144" s="37" t="s">
        <v>648</v>
      </c>
      <c r="G144" s="37" t="s">
        <v>921</v>
      </c>
      <c r="H144" s="37" t="s">
        <v>221</v>
      </c>
      <c r="I144" s="49" t="s">
        <v>221</v>
      </c>
      <c r="J144" s="37" t="s">
        <v>81</v>
      </c>
      <c r="K144" s="37" t="s">
        <v>737</v>
      </c>
      <c r="L144" s="37" t="s">
        <v>153</v>
      </c>
      <c r="M144" s="37"/>
      <c r="N144" s="39" t="s">
        <v>738</v>
      </c>
      <c r="O144" s="37" t="s">
        <v>86</v>
      </c>
      <c r="P144" s="37"/>
      <c r="Q144" s="37" t="s">
        <v>922</v>
      </c>
      <c r="R144" s="37" t="s">
        <v>923</v>
      </c>
      <c r="S144" s="37"/>
      <c r="T144" s="37" t="s">
        <v>741</v>
      </c>
      <c r="U144" s="37" t="s">
        <v>890</v>
      </c>
      <c r="V144" s="40">
        <v>46191.0</v>
      </c>
      <c r="W144" s="41" t="s">
        <v>91</v>
      </c>
    </row>
    <row r="145" ht="15.75" customHeight="1">
      <c r="A145" s="42" t="s">
        <v>924</v>
      </c>
      <c r="B145" s="42" t="s">
        <v>732</v>
      </c>
      <c r="C145" s="42" t="s">
        <v>925</v>
      </c>
      <c r="D145" s="42" t="s">
        <v>926</v>
      </c>
      <c r="E145" s="42" t="s">
        <v>885</v>
      </c>
      <c r="F145" s="42" t="s">
        <v>648</v>
      </c>
      <c r="G145" s="42" t="s">
        <v>927</v>
      </c>
      <c r="H145" s="42" t="s">
        <v>221</v>
      </c>
      <c r="I145" s="49" t="s">
        <v>221</v>
      </c>
      <c r="J145" s="42" t="s">
        <v>124</v>
      </c>
      <c r="K145" s="42" t="s">
        <v>737</v>
      </c>
      <c r="L145" s="42" t="s">
        <v>153</v>
      </c>
      <c r="M145" s="42"/>
      <c r="N145" s="47" t="s">
        <v>126</v>
      </c>
      <c r="O145" s="42" t="s">
        <v>86</v>
      </c>
      <c r="P145" s="42"/>
      <c r="Q145" s="42" t="s">
        <v>928</v>
      </c>
      <c r="R145" s="42" t="s">
        <v>929</v>
      </c>
      <c r="S145" s="42"/>
      <c r="T145" s="42" t="s">
        <v>128</v>
      </c>
      <c r="U145" s="42" t="s">
        <v>890</v>
      </c>
      <c r="V145" s="44">
        <v>46191.0</v>
      </c>
      <c r="W145" s="41" t="s">
        <v>91</v>
      </c>
    </row>
    <row r="146" ht="15.75" customHeight="1">
      <c r="A146" s="37" t="s">
        <v>930</v>
      </c>
      <c r="B146" s="37" t="s">
        <v>732</v>
      </c>
      <c r="C146" s="37" t="s">
        <v>931</v>
      </c>
      <c r="D146" s="37" t="s">
        <v>926</v>
      </c>
      <c r="E146" s="37" t="s">
        <v>754</v>
      </c>
      <c r="F146" s="37" t="s">
        <v>697</v>
      </c>
      <c r="G146" s="37" t="s">
        <v>932</v>
      </c>
      <c r="H146" s="37" t="s">
        <v>221</v>
      </c>
      <c r="I146" s="49" t="s">
        <v>221</v>
      </c>
      <c r="J146" s="37" t="s">
        <v>81</v>
      </c>
      <c r="K146" s="37" t="s">
        <v>82</v>
      </c>
      <c r="L146" s="37" t="s">
        <v>83</v>
      </c>
      <c r="M146" s="37"/>
      <c r="N146" s="39" t="s">
        <v>738</v>
      </c>
      <c r="O146" s="37" t="s">
        <v>86</v>
      </c>
      <c r="P146" s="37"/>
      <c r="Q146" s="37" t="s">
        <v>933</v>
      </c>
      <c r="R146" s="37" t="s">
        <v>934</v>
      </c>
      <c r="S146" s="37"/>
      <c r="T146" s="37" t="s">
        <v>741</v>
      </c>
      <c r="U146" s="37" t="s">
        <v>767</v>
      </c>
      <c r="V146" s="40">
        <v>46191.0</v>
      </c>
      <c r="W146" s="41" t="s">
        <v>91</v>
      </c>
    </row>
    <row r="147" ht="15.75" customHeight="1">
      <c r="A147" s="42" t="s">
        <v>935</v>
      </c>
      <c r="B147" s="42" t="s">
        <v>732</v>
      </c>
      <c r="C147" s="42" t="s">
        <v>936</v>
      </c>
      <c r="D147" s="42" t="s">
        <v>745</v>
      </c>
      <c r="E147" s="42" t="s">
        <v>754</v>
      </c>
      <c r="F147" s="42" t="s">
        <v>697</v>
      </c>
      <c r="G147" s="42" t="s">
        <v>937</v>
      </c>
      <c r="H147" s="42" t="s">
        <v>221</v>
      </c>
      <c r="I147" s="49" t="s">
        <v>221</v>
      </c>
      <c r="J147" s="42" t="s">
        <v>81</v>
      </c>
      <c r="K147" s="42" t="s">
        <v>938</v>
      </c>
      <c r="L147" s="42" t="s">
        <v>938</v>
      </c>
      <c r="M147" s="42"/>
      <c r="N147" s="39" t="s">
        <v>738</v>
      </c>
      <c r="O147" s="42" t="s">
        <v>86</v>
      </c>
      <c r="P147" s="42"/>
      <c r="Q147" s="42" t="s">
        <v>939</v>
      </c>
      <c r="R147" s="42" t="s">
        <v>940</v>
      </c>
      <c r="S147" s="42"/>
      <c r="T147" s="42" t="s">
        <v>741</v>
      </c>
      <c r="U147" s="42" t="s">
        <v>767</v>
      </c>
      <c r="V147" s="44">
        <v>46191.0</v>
      </c>
      <c r="W147" s="41" t="s">
        <v>100</v>
      </c>
    </row>
    <row r="148" ht="15.75" customHeight="1">
      <c r="A148" s="37" t="s">
        <v>941</v>
      </c>
      <c r="B148" s="37" t="s">
        <v>732</v>
      </c>
      <c r="C148" s="37" t="s">
        <v>942</v>
      </c>
      <c r="D148" s="37" t="s">
        <v>745</v>
      </c>
      <c r="E148" s="37" t="s">
        <v>754</v>
      </c>
      <c r="F148" s="37" t="s">
        <v>715</v>
      </c>
      <c r="G148" s="37" t="s">
        <v>943</v>
      </c>
      <c r="H148" s="37" t="s">
        <v>221</v>
      </c>
      <c r="I148" s="49" t="s">
        <v>221</v>
      </c>
      <c r="J148" s="37" t="s">
        <v>81</v>
      </c>
      <c r="K148" s="37" t="s">
        <v>938</v>
      </c>
      <c r="L148" s="37" t="s">
        <v>938</v>
      </c>
      <c r="M148" s="37"/>
      <c r="N148" s="39" t="s">
        <v>738</v>
      </c>
      <c r="O148" s="37" t="s">
        <v>86</v>
      </c>
      <c r="P148" s="37"/>
      <c r="Q148" s="37" t="s">
        <v>944</v>
      </c>
      <c r="R148" s="37" t="s">
        <v>945</v>
      </c>
      <c r="S148" s="37"/>
      <c r="T148" s="37" t="s">
        <v>741</v>
      </c>
      <c r="U148" s="37" t="s">
        <v>767</v>
      </c>
      <c r="V148" s="40">
        <v>46191.0</v>
      </c>
      <c r="W148" s="41" t="s">
        <v>100</v>
      </c>
    </row>
    <row r="149" ht="15.75" customHeight="1">
      <c r="A149" s="42" t="s">
        <v>946</v>
      </c>
      <c r="B149" s="42" t="s">
        <v>732</v>
      </c>
      <c r="C149" s="42" t="s">
        <v>947</v>
      </c>
      <c r="D149" s="42" t="s">
        <v>753</v>
      </c>
      <c r="E149" s="42" t="s">
        <v>754</v>
      </c>
      <c r="F149" s="42" t="s">
        <v>721</v>
      </c>
      <c r="G149" s="42" t="s">
        <v>948</v>
      </c>
      <c r="H149" s="42" t="s">
        <v>221</v>
      </c>
      <c r="I149" s="49" t="s">
        <v>221</v>
      </c>
      <c r="J149" s="42" t="s">
        <v>81</v>
      </c>
      <c r="K149" s="42" t="s">
        <v>82</v>
      </c>
      <c r="L149" s="42" t="s">
        <v>83</v>
      </c>
      <c r="M149" s="42"/>
      <c r="N149" s="39" t="s">
        <v>738</v>
      </c>
      <c r="O149" s="42" t="s">
        <v>86</v>
      </c>
      <c r="P149" s="42"/>
      <c r="Q149" s="42" t="s">
        <v>949</v>
      </c>
      <c r="R149" s="42" t="s">
        <v>950</v>
      </c>
      <c r="S149" s="42"/>
      <c r="T149" s="42" t="s">
        <v>741</v>
      </c>
      <c r="U149" s="42" t="s">
        <v>767</v>
      </c>
      <c r="V149" s="44">
        <v>46191.0</v>
      </c>
      <c r="W149" s="41" t="s">
        <v>91</v>
      </c>
    </row>
    <row r="150" ht="15.75" customHeight="1">
      <c r="A150" s="37" t="s">
        <v>951</v>
      </c>
      <c r="B150" s="37" t="s">
        <v>732</v>
      </c>
      <c r="C150" s="37" t="s">
        <v>952</v>
      </c>
      <c r="D150" s="37" t="s">
        <v>745</v>
      </c>
      <c r="E150" s="37" t="s">
        <v>754</v>
      </c>
      <c r="F150" s="37" t="s">
        <v>721</v>
      </c>
      <c r="G150" s="37" t="s">
        <v>953</v>
      </c>
      <c r="H150" s="37" t="s">
        <v>221</v>
      </c>
      <c r="I150" s="49" t="s">
        <v>221</v>
      </c>
      <c r="J150" s="37" t="s">
        <v>81</v>
      </c>
      <c r="K150" s="37" t="s">
        <v>938</v>
      </c>
      <c r="L150" s="37" t="s">
        <v>938</v>
      </c>
      <c r="M150" s="37"/>
      <c r="N150" s="39" t="s">
        <v>738</v>
      </c>
      <c r="O150" s="37" t="s">
        <v>86</v>
      </c>
      <c r="P150" s="37"/>
      <c r="Q150" s="37" t="s">
        <v>954</v>
      </c>
      <c r="R150" s="37" t="s">
        <v>955</v>
      </c>
      <c r="S150" s="37"/>
      <c r="T150" s="37" t="s">
        <v>741</v>
      </c>
      <c r="U150" s="37" t="s">
        <v>767</v>
      </c>
      <c r="V150" s="40">
        <v>46191.0</v>
      </c>
      <c r="W150" s="41" t="s">
        <v>100</v>
      </c>
    </row>
    <row r="151" ht="15.75" customHeight="1">
      <c r="A151" s="42" t="s">
        <v>956</v>
      </c>
      <c r="B151" s="42" t="s">
        <v>732</v>
      </c>
      <c r="C151" s="42" t="s">
        <v>957</v>
      </c>
      <c r="D151" s="42" t="s">
        <v>926</v>
      </c>
      <c r="E151" s="42" t="s">
        <v>754</v>
      </c>
      <c r="F151" s="42" t="s">
        <v>721</v>
      </c>
      <c r="G151" s="42" t="s">
        <v>958</v>
      </c>
      <c r="H151" s="42" t="s">
        <v>221</v>
      </c>
      <c r="I151" s="49" t="s">
        <v>221</v>
      </c>
      <c r="J151" s="42" t="s">
        <v>81</v>
      </c>
      <c r="K151" s="42" t="s">
        <v>737</v>
      </c>
      <c r="L151" s="42" t="s">
        <v>153</v>
      </c>
      <c r="M151" s="42"/>
      <c r="N151" s="39" t="s">
        <v>738</v>
      </c>
      <c r="O151" s="42" t="s">
        <v>86</v>
      </c>
      <c r="P151" s="42"/>
      <c r="Q151" s="42" t="s">
        <v>959</v>
      </c>
      <c r="R151" s="42" t="s">
        <v>960</v>
      </c>
      <c r="S151" s="42"/>
      <c r="T151" s="42" t="s">
        <v>741</v>
      </c>
      <c r="U151" s="42" t="s">
        <v>767</v>
      </c>
      <c r="V151" s="44">
        <v>46191.0</v>
      </c>
      <c r="W151" s="41" t="s">
        <v>91</v>
      </c>
    </row>
    <row r="152" ht="15.75" customHeight="1">
      <c r="A152" s="37" t="s">
        <v>961</v>
      </c>
      <c r="B152" s="37" t="s">
        <v>732</v>
      </c>
      <c r="C152" s="37" t="s">
        <v>962</v>
      </c>
      <c r="D152" s="37" t="s">
        <v>926</v>
      </c>
      <c r="E152" s="37" t="s">
        <v>754</v>
      </c>
      <c r="F152" s="37" t="s">
        <v>727</v>
      </c>
      <c r="G152" s="37" t="s">
        <v>963</v>
      </c>
      <c r="H152" s="37" t="s">
        <v>221</v>
      </c>
      <c r="I152" s="49" t="s">
        <v>221</v>
      </c>
      <c r="J152" s="37" t="s">
        <v>81</v>
      </c>
      <c r="K152" s="37" t="s">
        <v>737</v>
      </c>
      <c r="L152" s="37" t="s">
        <v>153</v>
      </c>
      <c r="M152" s="37"/>
      <c r="N152" s="39" t="s">
        <v>738</v>
      </c>
      <c r="O152" s="37" t="s">
        <v>86</v>
      </c>
      <c r="P152" s="37"/>
      <c r="Q152" s="37" t="s">
        <v>964</v>
      </c>
      <c r="R152" s="37" t="s">
        <v>965</v>
      </c>
      <c r="S152" s="37"/>
      <c r="T152" s="37" t="s">
        <v>741</v>
      </c>
      <c r="U152" s="37" t="s">
        <v>767</v>
      </c>
      <c r="V152" s="40">
        <v>46191.0</v>
      </c>
      <c r="W152" s="41" t="s">
        <v>91</v>
      </c>
    </row>
    <row r="153" ht="15.75" customHeight="1">
      <c r="A153" s="42" t="s">
        <v>966</v>
      </c>
      <c r="B153" s="42" t="s">
        <v>732</v>
      </c>
      <c r="C153" s="42" t="s">
        <v>967</v>
      </c>
      <c r="D153" s="42" t="s">
        <v>753</v>
      </c>
      <c r="E153" s="42" t="s">
        <v>754</v>
      </c>
      <c r="F153" s="42" t="s">
        <v>968</v>
      </c>
      <c r="G153" s="42" t="s">
        <v>969</v>
      </c>
      <c r="H153" s="42" t="s">
        <v>221</v>
      </c>
      <c r="I153" s="49" t="s">
        <v>221</v>
      </c>
      <c r="J153" s="42" t="s">
        <v>81</v>
      </c>
      <c r="K153" s="42" t="s">
        <v>737</v>
      </c>
      <c r="L153" s="42" t="s">
        <v>153</v>
      </c>
      <c r="M153" s="42"/>
      <c r="N153" s="39" t="s">
        <v>738</v>
      </c>
      <c r="O153" s="42" t="s">
        <v>86</v>
      </c>
      <c r="P153" s="42"/>
      <c r="Q153" s="42" t="s">
        <v>970</v>
      </c>
      <c r="R153" s="42" t="s">
        <v>971</v>
      </c>
      <c r="S153" s="42"/>
      <c r="T153" s="42" t="s">
        <v>741</v>
      </c>
      <c r="U153" s="42" t="s">
        <v>767</v>
      </c>
      <c r="V153" s="44">
        <v>46191.0</v>
      </c>
      <c r="W153" s="41" t="s">
        <v>91</v>
      </c>
    </row>
    <row r="154" ht="15.75" customHeight="1">
      <c r="A154" s="37" t="s">
        <v>972</v>
      </c>
      <c r="B154" s="37" t="s">
        <v>732</v>
      </c>
      <c r="C154" s="37" t="s">
        <v>973</v>
      </c>
      <c r="D154" s="37" t="s">
        <v>753</v>
      </c>
      <c r="E154" s="37" t="s">
        <v>754</v>
      </c>
      <c r="F154" s="37" t="s">
        <v>974</v>
      </c>
      <c r="G154" s="37" t="s">
        <v>975</v>
      </c>
      <c r="H154" s="37" t="s">
        <v>221</v>
      </c>
      <c r="I154" s="49" t="s">
        <v>221</v>
      </c>
      <c r="J154" s="37" t="s">
        <v>81</v>
      </c>
      <c r="K154" s="37" t="s">
        <v>82</v>
      </c>
      <c r="L154" s="37" t="s">
        <v>83</v>
      </c>
      <c r="M154" s="37"/>
      <c r="N154" s="39" t="s">
        <v>738</v>
      </c>
      <c r="O154" s="37" t="s">
        <v>86</v>
      </c>
      <c r="P154" s="37"/>
      <c r="Q154" s="37" t="s">
        <v>976</v>
      </c>
      <c r="R154" s="37" t="s">
        <v>977</v>
      </c>
      <c r="S154" s="37"/>
      <c r="T154" s="37" t="s">
        <v>741</v>
      </c>
      <c r="U154" s="37" t="s">
        <v>767</v>
      </c>
      <c r="V154" s="40">
        <v>46191.0</v>
      </c>
      <c r="W154" s="41" t="s">
        <v>91</v>
      </c>
    </row>
    <row r="155" ht="15.75" customHeight="1">
      <c r="A155" s="42" t="s">
        <v>978</v>
      </c>
      <c r="B155" s="42" t="s">
        <v>732</v>
      </c>
      <c r="C155" s="42" t="s">
        <v>979</v>
      </c>
      <c r="D155" s="42" t="s">
        <v>753</v>
      </c>
      <c r="E155" s="42" t="s">
        <v>754</v>
      </c>
      <c r="F155" s="42" t="s">
        <v>974</v>
      </c>
      <c r="G155" s="42" t="s">
        <v>980</v>
      </c>
      <c r="H155" s="42" t="s">
        <v>221</v>
      </c>
      <c r="I155" s="49" t="s">
        <v>221</v>
      </c>
      <c r="J155" s="42" t="s">
        <v>81</v>
      </c>
      <c r="K155" s="42" t="s">
        <v>82</v>
      </c>
      <c r="L155" s="42" t="s">
        <v>83</v>
      </c>
      <c r="M155" s="42"/>
      <c r="N155" s="39" t="s">
        <v>738</v>
      </c>
      <c r="O155" s="42" t="s">
        <v>86</v>
      </c>
      <c r="P155" s="42"/>
      <c r="Q155" s="42" t="s">
        <v>981</v>
      </c>
      <c r="R155" s="42" t="s">
        <v>982</v>
      </c>
      <c r="S155" s="42"/>
      <c r="T155" s="42" t="s">
        <v>741</v>
      </c>
      <c r="U155" s="42" t="s">
        <v>767</v>
      </c>
      <c r="V155" s="44">
        <v>46191.0</v>
      </c>
      <c r="W155" s="41" t="s">
        <v>91</v>
      </c>
    </row>
    <row r="156" ht="15.75" customHeight="1">
      <c r="A156" s="37" t="s">
        <v>983</v>
      </c>
      <c r="B156" s="37" t="s">
        <v>732</v>
      </c>
      <c r="C156" s="37" t="s">
        <v>984</v>
      </c>
      <c r="D156" s="37" t="s">
        <v>926</v>
      </c>
      <c r="E156" s="37" t="s">
        <v>754</v>
      </c>
      <c r="F156" s="37" t="s">
        <v>974</v>
      </c>
      <c r="G156" s="37" t="s">
        <v>985</v>
      </c>
      <c r="H156" s="37" t="s">
        <v>221</v>
      </c>
      <c r="I156" s="49" t="s">
        <v>221</v>
      </c>
      <c r="J156" s="37" t="s">
        <v>81</v>
      </c>
      <c r="K156" s="37" t="s">
        <v>737</v>
      </c>
      <c r="L156" s="37" t="s">
        <v>153</v>
      </c>
      <c r="M156" s="37"/>
      <c r="N156" s="39" t="s">
        <v>738</v>
      </c>
      <c r="O156" s="37" t="s">
        <v>86</v>
      </c>
      <c r="P156" s="37"/>
      <c r="Q156" s="37" t="s">
        <v>986</v>
      </c>
      <c r="R156" s="37" t="s">
        <v>987</v>
      </c>
      <c r="S156" s="37"/>
      <c r="T156" s="37" t="s">
        <v>741</v>
      </c>
      <c r="U156" s="37" t="s">
        <v>767</v>
      </c>
      <c r="V156" s="40">
        <v>46191.0</v>
      </c>
      <c r="W156" s="41" t="s">
        <v>91</v>
      </c>
    </row>
    <row r="157" ht="15.75" customHeight="1">
      <c r="A157" s="42" t="s">
        <v>988</v>
      </c>
      <c r="B157" s="42" t="s">
        <v>732</v>
      </c>
      <c r="C157" s="42" t="s">
        <v>989</v>
      </c>
      <c r="D157" s="42" t="s">
        <v>926</v>
      </c>
      <c r="E157" s="42" t="s">
        <v>735</v>
      </c>
      <c r="F157" s="42" t="s">
        <v>735</v>
      </c>
      <c r="G157" s="42" t="s">
        <v>990</v>
      </c>
      <c r="H157" s="42" t="s">
        <v>80</v>
      </c>
      <c r="I157" s="38" t="s">
        <v>80</v>
      </c>
      <c r="J157" s="42" t="s">
        <v>81</v>
      </c>
      <c r="K157" s="42" t="s">
        <v>737</v>
      </c>
      <c r="L157" s="42" t="s">
        <v>153</v>
      </c>
      <c r="M157" s="42"/>
      <c r="N157" s="39" t="s">
        <v>738</v>
      </c>
      <c r="O157" s="42" t="s">
        <v>86</v>
      </c>
      <c r="P157" s="42"/>
      <c r="Q157" s="42" t="s">
        <v>991</v>
      </c>
      <c r="R157" s="42" t="s">
        <v>992</v>
      </c>
      <c r="S157" s="42"/>
      <c r="T157" s="42" t="s">
        <v>741</v>
      </c>
      <c r="U157" s="42" t="s">
        <v>742</v>
      </c>
      <c r="V157" s="44">
        <v>46191.0</v>
      </c>
      <c r="W157" s="41" t="s">
        <v>91</v>
      </c>
    </row>
    <row r="158" ht="15.75" customHeight="1">
      <c r="A158" s="37" t="s">
        <v>993</v>
      </c>
      <c r="B158" s="37" t="s">
        <v>732</v>
      </c>
      <c r="C158" s="37" t="s">
        <v>994</v>
      </c>
      <c r="D158" s="37" t="s">
        <v>920</v>
      </c>
      <c r="E158" s="37" t="s">
        <v>754</v>
      </c>
      <c r="F158" s="37" t="s">
        <v>995</v>
      </c>
      <c r="G158" s="37" t="s">
        <v>996</v>
      </c>
      <c r="H158" s="37" t="s">
        <v>80</v>
      </c>
      <c r="I158" s="38" t="s">
        <v>80</v>
      </c>
      <c r="J158" s="37" t="s">
        <v>81</v>
      </c>
      <c r="K158" s="37" t="s">
        <v>82</v>
      </c>
      <c r="L158" s="37" t="s">
        <v>83</v>
      </c>
      <c r="M158" s="37"/>
      <c r="N158" s="39" t="s">
        <v>738</v>
      </c>
      <c r="O158" s="37" t="s">
        <v>86</v>
      </c>
      <c r="P158" s="37"/>
      <c r="Q158" s="37" t="s">
        <v>997</v>
      </c>
      <c r="R158" s="37" t="s">
        <v>998</v>
      </c>
      <c r="S158" s="37"/>
      <c r="T158" s="37" t="s">
        <v>741</v>
      </c>
      <c r="U158" s="37" t="s">
        <v>742</v>
      </c>
      <c r="V158" s="40">
        <v>46191.0</v>
      </c>
      <c r="W158" s="41" t="s">
        <v>91</v>
      </c>
    </row>
    <row r="159" ht="15.75" customHeight="1">
      <c r="A159" s="42" t="s">
        <v>999</v>
      </c>
      <c r="B159" s="42" t="s">
        <v>732</v>
      </c>
      <c r="C159" s="42" t="s">
        <v>1000</v>
      </c>
      <c r="D159" s="42" t="s">
        <v>753</v>
      </c>
      <c r="E159" s="42" t="s">
        <v>746</v>
      </c>
      <c r="F159" s="42" t="s">
        <v>1001</v>
      </c>
      <c r="G159" s="42" t="s">
        <v>1002</v>
      </c>
      <c r="H159" s="42" t="s">
        <v>80</v>
      </c>
      <c r="I159" s="38" t="s">
        <v>80</v>
      </c>
      <c r="J159" s="42" t="s">
        <v>757</v>
      </c>
      <c r="K159" s="42" t="s">
        <v>82</v>
      </c>
      <c r="L159" s="42" t="s">
        <v>83</v>
      </c>
      <c r="M159" s="42"/>
      <c r="N159" s="39" t="s">
        <v>738</v>
      </c>
      <c r="O159" s="42" t="s">
        <v>86</v>
      </c>
      <c r="P159" s="42"/>
      <c r="Q159" s="42" t="s">
        <v>1003</v>
      </c>
      <c r="R159" s="42" t="s">
        <v>1004</v>
      </c>
      <c r="S159" s="42"/>
      <c r="T159" s="42" t="s">
        <v>760</v>
      </c>
      <c r="U159" s="42" t="s">
        <v>742</v>
      </c>
      <c r="V159" s="44">
        <v>46191.0</v>
      </c>
      <c r="W159" s="41" t="s">
        <v>91</v>
      </c>
    </row>
    <row r="160" ht="15.75" customHeight="1">
      <c r="A160" s="37" t="s">
        <v>1005</v>
      </c>
      <c r="B160" s="37" t="s">
        <v>732</v>
      </c>
      <c r="C160" s="37" t="s">
        <v>1006</v>
      </c>
      <c r="D160" s="37" t="s">
        <v>753</v>
      </c>
      <c r="E160" s="37" t="s">
        <v>746</v>
      </c>
      <c r="F160" s="37" t="s">
        <v>219</v>
      </c>
      <c r="G160" s="37" t="s">
        <v>1007</v>
      </c>
      <c r="H160" s="37" t="s">
        <v>80</v>
      </c>
      <c r="I160" s="38" t="s">
        <v>80</v>
      </c>
      <c r="J160" s="37" t="s">
        <v>757</v>
      </c>
      <c r="K160" s="37" t="s">
        <v>737</v>
      </c>
      <c r="L160" s="37" t="s">
        <v>153</v>
      </c>
      <c r="M160" s="37"/>
      <c r="N160" s="39" t="s">
        <v>738</v>
      </c>
      <c r="O160" s="37" t="s">
        <v>86</v>
      </c>
      <c r="P160" s="37"/>
      <c r="Q160" s="37" t="s">
        <v>1008</v>
      </c>
      <c r="R160" s="37" t="s">
        <v>1009</v>
      </c>
      <c r="S160" s="37" t="s">
        <v>1010</v>
      </c>
      <c r="T160" s="37" t="s">
        <v>760</v>
      </c>
      <c r="U160" s="37" t="s">
        <v>767</v>
      </c>
      <c r="V160" s="40">
        <v>46191.0</v>
      </c>
      <c r="W160" s="41" t="s">
        <v>91</v>
      </c>
    </row>
    <row r="161" ht="15.75" customHeight="1">
      <c r="A161" s="42" t="s">
        <v>1011</v>
      </c>
      <c r="B161" s="42" t="s">
        <v>732</v>
      </c>
      <c r="C161" s="42" t="s">
        <v>1012</v>
      </c>
      <c r="D161" s="42" t="s">
        <v>753</v>
      </c>
      <c r="E161" s="42" t="s">
        <v>746</v>
      </c>
      <c r="F161" s="42" t="s">
        <v>247</v>
      </c>
      <c r="G161" s="42" t="s">
        <v>1013</v>
      </c>
      <c r="H161" s="42" t="s">
        <v>80</v>
      </c>
      <c r="I161" s="38" t="s">
        <v>80</v>
      </c>
      <c r="J161" s="42" t="s">
        <v>757</v>
      </c>
      <c r="K161" s="42" t="s">
        <v>82</v>
      </c>
      <c r="L161" s="42" t="s">
        <v>83</v>
      </c>
      <c r="M161" s="42"/>
      <c r="N161" s="39" t="s">
        <v>738</v>
      </c>
      <c r="O161" s="42" t="s">
        <v>86</v>
      </c>
      <c r="P161" s="42"/>
      <c r="Q161" s="42" t="s">
        <v>1014</v>
      </c>
      <c r="R161" s="42" t="s">
        <v>1015</v>
      </c>
      <c r="S161" s="42" t="s">
        <v>1016</v>
      </c>
      <c r="T161" s="42" t="s">
        <v>760</v>
      </c>
      <c r="U161" s="42" t="s">
        <v>767</v>
      </c>
      <c r="V161" s="44">
        <v>46191.0</v>
      </c>
      <c r="W161" s="41" t="s">
        <v>91</v>
      </c>
    </row>
    <row r="162" ht="15.75" customHeight="1">
      <c r="A162" s="37" t="s">
        <v>1017</v>
      </c>
      <c r="B162" s="37" t="s">
        <v>732</v>
      </c>
      <c r="C162" s="37" t="s">
        <v>1018</v>
      </c>
      <c r="D162" s="37" t="s">
        <v>734</v>
      </c>
      <c r="E162" s="37" t="s">
        <v>746</v>
      </c>
      <c r="F162" s="37" t="s">
        <v>1001</v>
      </c>
      <c r="G162" s="37" t="s">
        <v>1019</v>
      </c>
      <c r="H162" s="37" t="s">
        <v>80</v>
      </c>
      <c r="I162" s="38" t="s">
        <v>80</v>
      </c>
      <c r="J162" s="37" t="s">
        <v>757</v>
      </c>
      <c r="K162" s="37" t="s">
        <v>82</v>
      </c>
      <c r="L162" s="37" t="s">
        <v>83</v>
      </c>
      <c r="M162" s="37"/>
      <c r="N162" s="39" t="s">
        <v>738</v>
      </c>
      <c r="O162" s="37" t="s">
        <v>86</v>
      </c>
      <c r="P162" s="37"/>
      <c r="Q162" s="37" t="s">
        <v>1020</v>
      </c>
      <c r="R162" s="37" t="s">
        <v>1021</v>
      </c>
      <c r="S162" s="37" t="s">
        <v>1022</v>
      </c>
      <c r="T162" s="37" t="s">
        <v>760</v>
      </c>
      <c r="U162" s="37" t="s">
        <v>767</v>
      </c>
      <c r="V162" s="40">
        <v>46191.0</v>
      </c>
      <c r="W162" s="41" t="s">
        <v>91</v>
      </c>
    </row>
    <row r="163" ht="15.75" customHeight="1">
      <c r="A163" s="42" t="s">
        <v>1023</v>
      </c>
      <c r="B163" s="42" t="s">
        <v>732</v>
      </c>
      <c r="C163" s="42" t="s">
        <v>1024</v>
      </c>
      <c r="D163" s="42" t="s">
        <v>753</v>
      </c>
      <c r="E163" s="42" t="s">
        <v>746</v>
      </c>
      <c r="F163" s="42" t="s">
        <v>290</v>
      </c>
      <c r="G163" s="42" t="s">
        <v>1025</v>
      </c>
      <c r="H163" s="42" t="s">
        <v>80</v>
      </c>
      <c r="I163" s="38" t="s">
        <v>80</v>
      </c>
      <c r="J163" s="42" t="s">
        <v>757</v>
      </c>
      <c r="K163" s="42" t="s">
        <v>82</v>
      </c>
      <c r="L163" s="42" t="s">
        <v>83</v>
      </c>
      <c r="M163" s="42"/>
      <c r="N163" s="39" t="s">
        <v>738</v>
      </c>
      <c r="O163" s="42" t="s">
        <v>86</v>
      </c>
      <c r="P163" s="42"/>
      <c r="Q163" s="42" t="s">
        <v>1026</v>
      </c>
      <c r="R163" s="42" t="s">
        <v>1027</v>
      </c>
      <c r="S163" s="42" t="s">
        <v>1028</v>
      </c>
      <c r="T163" s="42" t="s">
        <v>760</v>
      </c>
      <c r="U163" s="42" t="s">
        <v>767</v>
      </c>
      <c r="V163" s="44">
        <v>46191.0</v>
      </c>
      <c r="W163" s="41" t="s">
        <v>91</v>
      </c>
    </row>
    <row r="164" ht="15.75" customHeight="1">
      <c r="A164" s="37" t="s">
        <v>1029</v>
      </c>
      <c r="B164" s="37" t="s">
        <v>732</v>
      </c>
      <c r="C164" s="37" t="s">
        <v>1030</v>
      </c>
      <c r="D164" s="37" t="s">
        <v>753</v>
      </c>
      <c r="E164" s="37" t="s">
        <v>746</v>
      </c>
      <c r="F164" s="37" t="s">
        <v>322</v>
      </c>
      <c r="G164" s="37" t="s">
        <v>1031</v>
      </c>
      <c r="H164" s="37" t="s">
        <v>80</v>
      </c>
      <c r="I164" s="38" t="s">
        <v>80</v>
      </c>
      <c r="J164" s="37" t="s">
        <v>757</v>
      </c>
      <c r="K164" s="37" t="s">
        <v>737</v>
      </c>
      <c r="L164" s="37" t="s">
        <v>153</v>
      </c>
      <c r="M164" s="37"/>
      <c r="N164" s="39" t="s">
        <v>738</v>
      </c>
      <c r="O164" s="37" t="s">
        <v>86</v>
      </c>
      <c r="P164" s="37"/>
      <c r="Q164" s="37" t="s">
        <v>1032</v>
      </c>
      <c r="R164" s="37" t="s">
        <v>1033</v>
      </c>
      <c r="S164" s="37" t="s">
        <v>1034</v>
      </c>
      <c r="T164" s="37" t="s">
        <v>760</v>
      </c>
      <c r="U164" s="37" t="s">
        <v>767</v>
      </c>
      <c r="V164" s="40">
        <v>46191.0</v>
      </c>
      <c r="W164" s="41" t="s">
        <v>91</v>
      </c>
    </row>
    <row r="165" ht="15.75" customHeight="1">
      <c r="A165" s="42" t="s">
        <v>1035</v>
      </c>
      <c r="B165" s="42" t="s">
        <v>732</v>
      </c>
      <c r="C165" s="42" t="s">
        <v>1036</v>
      </c>
      <c r="D165" s="42" t="s">
        <v>734</v>
      </c>
      <c r="E165" s="42" t="s">
        <v>746</v>
      </c>
      <c r="F165" s="42" t="s">
        <v>349</v>
      </c>
      <c r="G165" s="42" t="s">
        <v>1037</v>
      </c>
      <c r="H165" s="42" t="s">
        <v>80</v>
      </c>
      <c r="I165" s="38" t="s">
        <v>80</v>
      </c>
      <c r="J165" s="42" t="s">
        <v>81</v>
      </c>
      <c r="K165" s="42" t="s">
        <v>82</v>
      </c>
      <c r="L165" s="42" t="s">
        <v>83</v>
      </c>
      <c r="M165" s="42"/>
      <c r="N165" s="39" t="s">
        <v>738</v>
      </c>
      <c r="O165" s="42" t="s">
        <v>86</v>
      </c>
      <c r="P165" s="42"/>
      <c r="Q165" s="42" t="s">
        <v>1038</v>
      </c>
      <c r="R165" s="42" t="s">
        <v>1039</v>
      </c>
      <c r="S165" s="42"/>
      <c r="T165" s="42" t="s">
        <v>741</v>
      </c>
      <c r="U165" s="42" t="s">
        <v>767</v>
      </c>
      <c r="V165" s="44">
        <v>46191.0</v>
      </c>
      <c r="W165" s="41" t="s">
        <v>91</v>
      </c>
    </row>
    <row r="166" ht="15.75" customHeight="1">
      <c r="A166" s="37" t="s">
        <v>1040</v>
      </c>
      <c r="B166" s="37" t="s">
        <v>732</v>
      </c>
      <c r="C166" s="37" t="s">
        <v>1041</v>
      </c>
      <c r="D166" s="37" t="s">
        <v>753</v>
      </c>
      <c r="E166" s="37" t="s">
        <v>746</v>
      </c>
      <c r="F166" s="37" t="s">
        <v>365</v>
      </c>
      <c r="G166" s="37" t="s">
        <v>1042</v>
      </c>
      <c r="H166" s="37" t="s">
        <v>80</v>
      </c>
      <c r="I166" s="38" t="s">
        <v>80</v>
      </c>
      <c r="J166" s="37" t="s">
        <v>757</v>
      </c>
      <c r="K166" s="37" t="s">
        <v>82</v>
      </c>
      <c r="L166" s="37" t="s">
        <v>83</v>
      </c>
      <c r="M166" s="37"/>
      <c r="N166" s="39" t="s">
        <v>738</v>
      </c>
      <c r="O166" s="37" t="s">
        <v>86</v>
      </c>
      <c r="P166" s="37"/>
      <c r="Q166" s="37" t="s">
        <v>1043</v>
      </c>
      <c r="R166" s="37" t="s">
        <v>1044</v>
      </c>
      <c r="S166" s="37" t="s">
        <v>1045</v>
      </c>
      <c r="T166" s="37" t="s">
        <v>760</v>
      </c>
      <c r="U166" s="37" t="s">
        <v>767</v>
      </c>
      <c r="V166" s="40">
        <v>46191.0</v>
      </c>
      <c r="W166" s="41" t="s">
        <v>91</v>
      </c>
    </row>
    <row r="167" ht="15.75" customHeight="1">
      <c r="A167" s="42" t="s">
        <v>1046</v>
      </c>
      <c r="B167" s="42" t="s">
        <v>732</v>
      </c>
      <c r="C167" s="42" t="s">
        <v>1047</v>
      </c>
      <c r="D167" s="42" t="s">
        <v>753</v>
      </c>
      <c r="E167" s="42" t="s">
        <v>746</v>
      </c>
      <c r="F167" s="42" t="s">
        <v>383</v>
      </c>
      <c r="G167" s="42" t="s">
        <v>1048</v>
      </c>
      <c r="H167" s="42" t="s">
        <v>80</v>
      </c>
      <c r="I167" s="38" t="s">
        <v>80</v>
      </c>
      <c r="J167" s="42" t="s">
        <v>757</v>
      </c>
      <c r="K167" s="42" t="s">
        <v>82</v>
      </c>
      <c r="L167" s="42" t="s">
        <v>83</v>
      </c>
      <c r="M167" s="42"/>
      <c r="N167" s="39" t="s">
        <v>738</v>
      </c>
      <c r="O167" s="42" t="s">
        <v>86</v>
      </c>
      <c r="P167" s="42"/>
      <c r="Q167" s="42" t="s">
        <v>1049</v>
      </c>
      <c r="R167" s="42" t="s">
        <v>1050</v>
      </c>
      <c r="S167" s="42" t="s">
        <v>1051</v>
      </c>
      <c r="T167" s="42" t="s">
        <v>760</v>
      </c>
      <c r="U167" s="42" t="s">
        <v>767</v>
      </c>
      <c r="V167" s="44">
        <v>46191.0</v>
      </c>
      <c r="W167" s="41" t="s">
        <v>91</v>
      </c>
    </row>
    <row r="168" ht="15.75" customHeight="1">
      <c r="A168" s="37" t="s">
        <v>1052</v>
      </c>
      <c r="B168" s="37" t="s">
        <v>732</v>
      </c>
      <c r="C168" s="37" t="s">
        <v>1053</v>
      </c>
      <c r="D168" s="37" t="s">
        <v>753</v>
      </c>
      <c r="E168" s="37" t="s">
        <v>746</v>
      </c>
      <c r="F168" s="37" t="s">
        <v>405</v>
      </c>
      <c r="G168" s="37" t="s">
        <v>1054</v>
      </c>
      <c r="H168" s="37" t="s">
        <v>80</v>
      </c>
      <c r="I168" s="38" t="s">
        <v>80</v>
      </c>
      <c r="J168" s="37" t="s">
        <v>757</v>
      </c>
      <c r="K168" s="37" t="s">
        <v>82</v>
      </c>
      <c r="L168" s="37" t="s">
        <v>83</v>
      </c>
      <c r="M168" s="37"/>
      <c r="N168" s="39" t="s">
        <v>738</v>
      </c>
      <c r="O168" s="37" t="s">
        <v>86</v>
      </c>
      <c r="P168" s="37"/>
      <c r="Q168" s="37" t="s">
        <v>1055</v>
      </c>
      <c r="R168" s="37" t="s">
        <v>1056</v>
      </c>
      <c r="S168" s="37" t="s">
        <v>1057</v>
      </c>
      <c r="T168" s="37" t="s">
        <v>760</v>
      </c>
      <c r="U168" s="37" t="s">
        <v>767</v>
      </c>
      <c r="V168" s="40">
        <v>46191.0</v>
      </c>
      <c r="W168" s="41" t="s">
        <v>91</v>
      </c>
    </row>
    <row r="169" ht="15.75" customHeight="1">
      <c r="A169" s="42" t="s">
        <v>1058</v>
      </c>
      <c r="B169" s="42" t="s">
        <v>732</v>
      </c>
      <c r="C169" s="42" t="s">
        <v>1059</v>
      </c>
      <c r="D169" s="42" t="s">
        <v>753</v>
      </c>
      <c r="E169" s="42" t="s">
        <v>858</v>
      </c>
      <c r="F169" s="42" t="s">
        <v>1060</v>
      </c>
      <c r="G169" s="42" t="s">
        <v>1061</v>
      </c>
      <c r="H169" s="42" t="s">
        <v>80</v>
      </c>
      <c r="I169" s="38" t="s">
        <v>80</v>
      </c>
      <c r="J169" s="42" t="s">
        <v>757</v>
      </c>
      <c r="K169" s="42" t="s">
        <v>82</v>
      </c>
      <c r="L169" s="42" t="s">
        <v>83</v>
      </c>
      <c r="M169" s="42"/>
      <c r="N169" s="39" t="s">
        <v>738</v>
      </c>
      <c r="O169" s="42" t="s">
        <v>86</v>
      </c>
      <c r="P169" s="42"/>
      <c r="Q169" s="42" t="s">
        <v>1062</v>
      </c>
      <c r="R169" s="42" t="s">
        <v>1063</v>
      </c>
      <c r="S169" s="42"/>
      <c r="T169" s="42" t="s">
        <v>760</v>
      </c>
      <c r="U169" s="42" t="s">
        <v>767</v>
      </c>
      <c r="V169" s="44">
        <v>46191.0</v>
      </c>
      <c r="W169" s="41" t="s">
        <v>91</v>
      </c>
    </row>
    <row r="170" ht="15.75" customHeight="1">
      <c r="A170" s="37" t="s">
        <v>1064</v>
      </c>
      <c r="B170" s="37" t="s">
        <v>732</v>
      </c>
      <c r="C170" s="37" t="s">
        <v>1065</v>
      </c>
      <c r="D170" s="37" t="s">
        <v>753</v>
      </c>
      <c r="E170" s="37" t="s">
        <v>858</v>
      </c>
      <c r="F170" s="37" t="s">
        <v>438</v>
      </c>
      <c r="G170" s="37" t="s">
        <v>1066</v>
      </c>
      <c r="H170" s="37" t="s">
        <v>80</v>
      </c>
      <c r="I170" s="38" t="s">
        <v>80</v>
      </c>
      <c r="J170" s="37" t="s">
        <v>757</v>
      </c>
      <c r="K170" s="37" t="s">
        <v>865</v>
      </c>
      <c r="L170" s="37" t="s">
        <v>669</v>
      </c>
      <c r="M170" s="37"/>
      <c r="N170" s="39" t="s">
        <v>738</v>
      </c>
      <c r="O170" s="37" t="s">
        <v>86</v>
      </c>
      <c r="P170" s="37"/>
      <c r="Q170" s="37" t="s">
        <v>1067</v>
      </c>
      <c r="R170" s="37" t="s">
        <v>1068</v>
      </c>
      <c r="S170" s="37"/>
      <c r="T170" s="37" t="s">
        <v>760</v>
      </c>
      <c r="U170" s="37" t="s">
        <v>767</v>
      </c>
      <c r="V170" s="40">
        <v>46191.0</v>
      </c>
      <c r="W170" s="41" t="s">
        <v>100</v>
      </c>
    </row>
    <row r="171" ht="15.75" customHeight="1">
      <c r="A171" s="42" t="s">
        <v>1069</v>
      </c>
      <c r="B171" s="42" t="s">
        <v>732</v>
      </c>
      <c r="C171" s="42" t="s">
        <v>1070</v>
      </c>
      <c r="D171" s="42" t="s">
        <v>753</v>
      </c>
      <c r="E171" s="42" t="s">
        <v>858</v>
      </c>
      <c r="F171" s="42" t="s">
        <v>449</v>
      </c>
      <c r="G171" s="42" t="s">
        <v>1071</v>
      </c>
      <c r="H171" s="42" t="s">
        <v>80</v>
      </c>
      <c r="I171" s="38" t="s">
        <v>80</v>
      </c>
      <c r="J171" s="42" t="s">
        <v>757</v>
      </c>
      <c r="K171" s="42" t="s">
        <v>82</v>
      </c>
      <c r="L171" s="42" t="s">
        <v>83</v>
      </c>
      <c r="M171" s="42"/>
      <c r="N171" s="39" t="s">
        <v>738</v>
      </c>
      <c r="O171" s="42" t="s">
        <v>86</v>
      </c>
      <c r="P171" s="42"/>
      <c r="Q171" s="42" t="s">
        <v>1072</v>
      </c>
      <c r="R171" s="42" t="s">
        <v>1073</v>
      </c>
      <c r="S171" s="42"/>
      <c r="T171" s="42" t="s">
        <v>760</v>
      </c>
      <c r="U171" s="42" t="s">
        <v>767</v>
      </c>
      <c r="V171" s="44">
        <v>46191.0</v>
      </c>
      <c r="W171" s="41" t="s">
        <v>91</v>
      </c>
    </row>
    <row r="172" ht="15.75" customHeight="1">
      <c r="A172" s="37" t="s">
        <v>1074</v>
      </c>
      <c r="B172" s="37" t="s">
        <v>732</v>
      </c>
      <c r="C172" s="37" t="s">
        <v>1075</v>
      </c>
      <c r="D172" s="37" t="s">
        <v>926</v>
      </c>
      <c r="E172" s="37" t="s">
        <v>858</v>
      </c>
      <c r="F172" s="37" t="s">
        <v>449</v>
      </c>
      <c r="G172" s="37" t="s">
        <v>1076</v>
      </c>
      <c r="H172" s="37" t="s">
        <v>80</v>
      </c>
      <c r="I172" s="38" t="s">
        <v>80</v>
      </c>
      <c r="J172" s="37" t="s">
        <v>81</v>
      </c>
      <c r="K172" s="37" t="s">
        <v>82</v>
      </c>
      <c r="L172" s="37" t="s">
        <v>83</v>
      </c>
      <c r="M172" s="37"/>
      <c r="N172" s="39" t="s">
        <v>738</v>
      </c>
      <c r="O172" s="37" t="s">
        <v>86</v>
      </c>
      <c r="P172" s="37"/>
      <c r="Q172" s="37" t="s">
        <v>1077</v>
      </c>
      <c r="R172" s="37" t="s">
        <v>1078</v>
      </c>
      <c r="S172" s="37"/>
      <c r="T172" s="37" t="s">
        <v>741</v>
      </c>
      <c r="U172" s="37" t="s">
        <v>767</v>
      </c>
      <c r="V172" s="40">
        <v>46191.0</v>
      </c>
      <c r="W172" s="41" t="s">
        <v>91</v>
      </c>
    </row>
    <row r="173" ht="15.75" customHeight="1">
      <c r="A173" s="42" t="s">
        <v>1079</v>
      </c>
      <c r="B173" s="42" t="s">
        <v>732</v>
      </c>
      <c r="C173" s="42" t="s">
        <v>1080</v>
      </c>
      <c r="D173" s="42" t="s">
        <v>753</v>
      </c>
      <c r="E173" s="42" t="s">
        <v>858</v>
      </c>
      <c r="F173" s="42" t="s">
        <v>476</v>
      </c>
      <c r="G173" s="42" t="s">
        <v>1081</v>
      </c>
      <c r="H173" s="42" t="s">
        <v>80</v>
      </c>
      <c r="I173" s="38" t="s">
        <v>80</v>
      </c>
      <c r="J173" s="42" t="s">
        <v>757</v>
      </c>
      <c r="K173" s="42" t="s">
        <v>82</v>
      </c>
      <c r="L173" s="42" t="s">
        <v>83</v>
      </c>
      <c r="M173" s="42"/>
      <c r="N173" s="39" t="s">
        <v>738</v>
      </c>
      <c r="O173" s="42" t="s">
        <v>86</v>
      </c>
      <c r="P173" s="42"/>
      <c r="Q173" s="42" t="s">
        <v>1082</v>
      </c>
      <c r="R173" s="42" t="s">
        <v>1083</v>
      </c>
      <c r="S173" s="42"/>
      <c r="T173" s="42" t="s">
        <v>760</v>
      </c>
      <c r="U173" s="42" t="s">
        <v>767</v>
      </c>
      <c r="V173" s="44">
        <v>46191.0</v>
      </c>
      <c r="W173" s="41" t="s">
        <v>91</v>
      </c>
    </row>
    <row r="174" ht="15.75" customHeight="1">
      <c r="A174" s="37" t="s">
        <v>1084</v>
      </c>
      <c r="B174" s="37" t="s">
        <v>732</v>
      </c>
      <c r="C174" s="37" t="s">
        <v>1085</v>
      </c>
      <c r="D174" s="37" t="s">
        <v>753</v>
      </c>
      <c r="E174" s="37" t="s">
        <v>858</v>
      </c>
      <c r="F174" s="37" t="s">
        <v>482</v>
      </c>
      <c r="G174" s="37" t="s">
        <v>1086</v>
      </c>
      <c r="H174" s="37" t="s">
        <v>80</v>
      </c>
      <c r="I174" s="38" t="s">
        <v>80</v>
      </c>
      <c r="J174" s="37" t="s">
        <v>757</v>
      </c>
      <c r="K174" s="37" t="s">
        <v>82</v>
      </c>
      <c r="L174" s="37" t="s">
        <v>83</v>
      </c>
      <c r="M174" s="37"/>
      <c r="N174" s="39" t="s">
        <v>738</v>
      </c>
      <c r="O174" s="37" t="s">
        <v>86</v>
      </c>
      <c r="P174" s="37"/>
      <c r="Q174" s="37" t="s">
        <v>1087</v>
      </c>
      <c r="R174" s="37" t="s">
        <v>1088</v>
      </c>
      <c r="S174" s="37"/>
      <c r="T174" s="37" t="s">
        <v>760</v>
      </c>
      <c r="U174" s="37" t="s">
        <v>767</v>
      </c>
      <c r="V174" s="40">
        <v>46191.0</v>
      </c>
      <c r="W174" s="41" t="s">
        <v>91</v>
      </c>
    </row>
    <row r="175" ht="15.75" customHeight="1">
      <c r="A175" s="42" t="s">
        <v>1089</v>
      </c>
      <c r="B175" s="42" t="s">
        <v>732</v>
      </c>
      <c r="C175" s="42" t="s">
        <v>1090</v>
      </c>
      <c r="D175" s="42" t="s">
        <v>753</v>
      </c>
      <c r="E175" s="42" t="s">
        <v>858</v>
      </c>
      <c r="F175" s="42" t="s">
        <v>521</v>
      </c>
      <c r="G175" s="42" t="s">
        <v>1091</v>
      </c>
      <c r="H175" s="42" t="s">
        <v>80</v>
      </c>
      <c r="I175" s="38" t="s">
        <v>80</v>
      </c>
      <c r="J175" s="42" t="s">
        <v>757</v>
      </c>
      <c r="K175" s="42" t="s">
        <v>105</v>
      </c>
      <c r="L175" s="42" t="s">
        <v>83</v>
      </c>
      <c r="M175" s="42"/>
      <c r="N175" s="39" t="s">
        <v>738</v>
      </c>
      <c r="O175" s="42" t="s">
        <v>86</v>
      </c>
      <c r="P175" s="42"/>
      <c r="Q175" s="42" t="s">
        <v>1092</v>
      </c>
      <c r="R175" s="42" t="s">
        <v>1093</v>
      </c>
      <c r="S175" s="42"/>
      <c r="T175" s="42" t="s">
        <v>760</v>
      </c>
      <c r="U175" s="42" t="s">
        <v>767</v>
      </c>
      <c r="V175" s="44">
        <v>46191.0</v>
      </c>
      <c r="W175" s="41" t="s">
        <v>91</v>
      </c>
    </row>
    <row r="176" ht="15.75" customHeight="1">
      <c r="A176" s="37" t="s">
        <v>1094</v>
      </c>
      <c r="B176" s="37" t="s">
        <v>732</v>
      </c>
      <c r="C176" s="37" t="s">
        <v>1095</v>
      </c>
      <c r="D176" s="37" t="s">
        <v>926</v>
      </c>
      <c r="E176" s="37" t="s">
        <v>858</v>
      </c>
      <c r="F176" s="37" t="s">
        <v>527</v>
      </c>
      <c r="G176" s="37" t="s">
        <v>1096</v>
      </c>
      <c r="H176" s="37" t="s">
        <v>80</v>
      </c>
      <c r="I176" s="38" t="s">
        <v>80</v>
      </c>
      <c r="J176" s="37" t="s">
        <v>81</v>
      </c>
      <c r="K176" s="37" t="s">
        <v>82</v>
      </c>
      <c r="L176" s="37" t="s">
        <v>83</v>
      </c>
      <c r="M176" s="37"/>
      <c r="N176" s="39" t="s">
        <v>738</v>
      </c>
      <c r="O176" s="37" t="s">
        <v>86</v>
      </c>
      <c r="P176" s="37"/>
      <c r="Q176" s="37" t="s">
        <v>1097</v>
      </c>
      <c r="R176" s="37" t="s">
        <v>1098</v>
      </c>
      <c r="S176" s="37"/>
      <c r="T176" s="37" t="s">
        <v>741</v>
      </c>
      <c r="U176" s="37" t="s">
        <v>767</v>
      </c>
      <c r="V176" s="40">
        <v>46191.0</v>
      </c>
      <c r="W176" s="41" t="s">
        <v>91</v>
      </c>
    </row>
    <row r="177" ht="15.75" customHeight="1">
      <c r="A177" s="42" t="s">
        <v>1099</v>
      </c>
      <c r="B177" s="42" t="s">
        <v>732</v>
      </c>
      <c r="C177" s="42" t="s">
        <v>1100</v>
      </c>
      <c r="D177" s="42" t="s">
        <v>753</v>
      </c>
      <c r="E177" s="42" t="s">
        <v>858</v>
      </c>
      <c r="F177" s="42" t="s">
        <v>549</v>
      </c>
      <c r="G177" s="42" t="s">
        <v>1101</v>
      </c>
      <c r="H177" s="42" t="s">
        <v>80</v>
      </c>
      <c r="I177" s="38" t="s">
        <v>80</v>
      </c>
      <c r="J177" s="42" t="s">
        <v>757</v>
      </c>
      <c r="K177" s="42" t="s">
        <v>82</v>
      </c>
      <c r="L177" s="42" t="s">
        <v>83</v>
      </c>
      <c r="M177" s="42"/>
      <c r="N177" s="39" t="s">
        <v>738</v>
      </c>
      <c r="O177" s="42" t="s">
        <v>86</v>
      </c>
      <c r="P177" s="42"/>
      <c r="Q177" s="42" t="s">
        <v>1102</v>
      </c>
      <c r="R177" s="42" t="s">
        <v>1103</v>
      </c>
      <c r="S177" s="42"/>
      <c r="T177" s="42" t="s">
        <v>760</v>
      </c>
      <c r="U177" s="42" t="s">
        <v>767</v>
      </c>
      <c r="V177" s="44">
        <v>46191.0</v>
      </c>
      <c r="W177" s="41" t="s">
        <v>91</v>
      </c>
    </row>
    <row r="178" ht="15.75" customHeight="1">
      <c r="A178" s="37" t="s">
        <v>1104</v>
      </c>
      <c r="B178" s="37" t="s">
        <v>732</v>
      </c>
      <c r="C178" s="37" t="s">
        <v>1105</v>
      </c>
      <c r="D178" s="37" t="s">
        <v>753</v>
      </c>
      <c r="E178" s="37" t="s">
        <v>858</v>
      </c>
      <c r="F178" s="37" t="s">
        <v>570</v>
      </c>
      <c r="G178" s="37" t="s">
        <v>1106</v>
      </c>
      <c r="H178" s="37" t="s">
        <v>80</v>
      </c>
      <c r="I178" s="38" t="s">
        <v>80</v>
      </c>
      <c r="J178" s="37" t="s">
        <v>757</v>
      </c>
      <c r="K178" s="37" t="s">
        <v>82</v>
      </c>
      <c r="L178" s="37" t="s">
        <v>83</v>
      </c>
      <c r="M178" s="37"/>
      <c r="N178" s="39" t="s">
        <v>738</v>
      </c>
      <c r="O178" s="37" t="s">
        <v>86</v>
      </c>
      <c r="P178" s="37"/>
      <c r="Q178" s="37" t="s">
        <v>1107</v>
      </c>
      <c r="R178" s="37" t="s">
        <v>1108</v>
      </c>
      <c r="S178" s="37"/>
      <c r="T178" s="37" t="s">
        <v>760</v>
      </c>
      <c r="U178" s="37" t="s">
        <v>767</v>
      </c>
      <c r="V178" s="40">
        <v>46191.0</v>
      </c>
      <c r="W178" s="41" t="s">
        <v>91</v>
      </c>
    </row>
    <row r="179" ht="15.75" customHeight="1">
      <c r="A179" s="42" t="s">
        <v>1109</v>
      </c>
      <c r="B179" s="42" t="s">
        <v>732</v>
      </c>
      <c r="C179" s="42" t="s">
        <v>1110</v>
      </c>
      <c r="D179" s="42" t="s">
        <v>753</v>
      </c>
      <c r="E179" s="42" t="s">
        <v>885</v>
      </c>
      <c r="F179" s="42" t="s">
        <v>580</v>
      </c>
      <c r="G179" s="42" t="s">
        <v>1111</v>
      </c>
      <c r="H179" s="42" t="s">
        <v>80</v>
      </c>
      <c r="I179" s="38" t="s">
        <v>80</v>
      </c>
      <c r="J179" s="42" t="s">
        <v>757</v>
      </c>
      <c r="K179" s="42" t="s">
        <v>82</v>
      </c>
      <c r="L179" s="42" t="s">
        <v>83</v>
      </c>
      <c r="M179" s="42"/>
      <c r="N179" s="39" t="s">
        <v>738</v>
      </c>
      <c r="O179" s="42" t="s">
        <v>86</v>
      </c>
      <c r="P179" s="42"/>
      <c r="Q179" s="42" t="s">
        <v>1112</v>
      </c>
      <c r="R179" s="42" t="s">
        <v>1113</v>
      </c>
      <c r="S179" s="42" t="s">
        <v>1114</v>
      </c>
      <c r="T179" s="42" t="s">
        <v>760</v>
      </c>
      <c r="U179" s="42" t="s">
        <v>890</v>
      </c>
      <c r="V179" s="44">
        <v>46191.0</v>
      </c>
      <c r="W179" s="41" t="s">
        <v>91</v>
      </c>
    </row>
    <row r="180" ht="15.75" customHeight="1">
      <c r="A180" s="37" t="s">
        <v>1115</v>
      </c>
      <c r="B180" s="37" t="s">
        <v>732</v>
      </c>
      <c r="C180" s="37" t="s">
        <v>1116</v>
      </c>
      <c r="D180" s="37" t="s">
        <v>753</v>
      </c>
      <c r="E180" s="37" t="s">
        <v>885</v>
      </c>
      <c r="F180" s="37" t="s">
        <v>580</v>
      </c>
      <c r="G180" s="37" t="s">
        <v>1117</v>
      </c>
      <c r="H180" s="37" t="s">
        <v>80</v>
      </c>
      <c r="I180" s="38" t="s">
        <v>80</v>
      </c>
      <c r="J180" s="37" t="s">
        <v>757</v>
      </c>
      <c r="K180" s="37" t="s">
        <v>82</v>
      </c>
      <c r="L180" s="37" t="s">
        <v>83</v>
      </c>
      <c r="M180" s="37"/>
      <c r="N180" s="39" t="s">
        <v>738</v>
      </c>
      <c r="O180" s="37" t="s">
        <v>86</v>
      </c>
      <c r="P180" s="37"/>
      <c r="Q180" s="37" t="s">
        <v>1118</v>
      </c>
      <c r="R180" s="37" t="s">
        <v>1119</v>
      </c>
      <c r="S180" s="37" t="s">
        <v>1120</v>
      </c>
      <c r="T180" s="37" t="s">
        <v>760</v>
      </c>
      <c r="U180" s="37" t="s">
        <v>890</v>
      </c>
      <c r="V180" s="40">
        <v>46191.0</v>
      </c>
      <c r="W180" s="41" t="s">
        <v>91</v>
      </c>
    </row>
    <row r="181" ht="15.75" customHeight="1">
      <c r="A181" s="42" t="s">
        <v>1121</v>
      </c>
      <c r="B181" s="42" t="s">
        <v>732</v>
      </c>
      <c r="C181" s="42" t="s">
        <v>1122</v>
      </c>
      <c r="D181" s="42" t="s">
        <v>753</v>
      </c>
      <c r="E181" s="42" t="s">
        <v>885</v>
      </c>
      <c r="F181" s="42" t="s">
        <v>592</v>
      </c>
      <c r="G181" s="42" t="s">
        <v>1123</v>
      </c>
      <c r="H181" s="42" t="s">
        <v>80</v>
      </c>
      <c r="I181" s="38" t="s">
        <v>80</v>
      </c>
      <c r="J181" s="42" t="s">
        <v>757</v>
      </c>
      <c r="K181" s="42" t="s">
        <v>82</v>
      </c>
      <c r="L181" s="42" t="s">
        <v>83</v>
      </c>
      <c r="M181" s="42"/>
      <c r="N181" s="39" t="s">
        <v>738</v>
      </c>
      <c r="O181" s="42" t="s">
        <v>86</v>
      </c>
      <c r="P181" s="42"/>
      <c r="Q181" s="42" t="s">
        <v>1124</v>
      </c>
      <c r="R181" s="42" t="s">
        <v>1125</v>
      </c>
      <c r="S181" s="42" t="s">
        <v>1126</v>
      </c>
      <c r="T181" s="42" t="s">
        <v>760</v>
      </c>
      <c r="U181" s="42" t="s">
        <v>890</v>
      </c>
      <c r="V181" s="44">
        <v>46191.0</v>
      </c>
      <c r="W181" s="41" t="s">
        <v>91</v>
      </c>
    </row>
    <row r="182" ht="15.75" customHeight="1">
      <c r="A182" s="37" t="s">
        <v>1127</v>
      </c>
      <c r="B182" s="37" t="s">
        <v>732</v>
      </c>
      <c r="C182" s="37" t="s">
        <v>1128</v>
      </c>
      <c r="D182" s="37" t="s">
        <v>753</v>
      </c>
      <c r="E182" s="37" t="s">
        <v>885</v>
      </c>
      <c r="F182" s="37" t="s">
        <v>598</v>
      </c>
      <c r="G182" s="37" t="s">
        <v>1129</v>
      </c>
      <c r="H182" s="37" t="s">
        <v>80</v>
      </c>
      <c r="I182" s="38" t="s">
        <v>80</v>
      </c>
      <c r="J182" s="37" t="s">
        <v>757</v>
      </c>
      <c r="K182" s="37" t="s">
        <v>82</v>
      </c>
      <c r="L182" s="37" t="s">
        <v>83</v>
      </c>
      <c r="M182" s="37"/>
      <c r="N182" s="39" t="s">
        <v>738</v>
      </c>
      <c r="O182" s="37" t="s">
        <v>86</v>
      </c>
      <c r="P182" s="37"/>
      <c r="Q182" s="37" t="s">
        <v>1130</v>
      </c>
      <c r="R182" s="37" t="s">
        <v>1131</v>
      </c>
      <c r="S182" s="37" t="s">
        <v>1132</v>
      </c>
      <c r="T182" s="37" t="s">
        <v>760</v>
      </c>
      <c r="U182" s="37" t="s">
        <v>890</v>
      </c>
      <c r="V182" s="40">
        <v>46191.0</v>
      </c>
      <c r="W182" s="41" t="s">
        <v>91</v>
      </c>
    </row>
    <row r="183" ht="15.75" customHeight="1">
      <c r="A183" s="42" t="s">
        <v>1133</v>
      </c>
      <c r="B183" s="42" t="s">
        <v>732</v>
      </c>
      <c r="C183" s="42" t="s">
        <v>1134</v>
      </c>
      <c r="D183" s="42" t="s">
        <v>753</v>
      </c>
      <c r="E183" s="42" t="s">
        <v>885</v>
      </c>
      <c r="F183" s="42" t="s">
        <v>609</v>
      </c>
      <c r="G183" s="42" t="s">
        <v>1135</v>
      </c>
      <c r="H183" s="42" t="s">
        <v>80</v>
      </c>
      <c r="I183" s="38" t="s">
        <v>80</v>
      </c>
      <c r="J183" s="42" t="s">
        <v>757</v>
      </c>
      <c r="K183" s="42" t="s">
        <v>82</v>
      </c>
      <c r="L183" s="42" t="s">
        <v>83</v>
      </c>
      <c r="M183" s="42"/>
      <c r="N183" s="39" t="s">
        <v>738</v>
      </c>
      <c r="O183" s="42" t="s">
        <v>86</v>
      </c>
      <c r="P183" s="42"/>
      <c r="Q183" s="42" t="s">
        <v>1136</v>
      </c>
      <c r="R183" s="42" t="s">
        <v>1137</v>
      </c>
      <c r="S183" s="42" t="s">
        <v>1138</v>
      </c>
      <c r="T183" s="42" t="s">
        <v>760</v>
      </c>
      <c r="U183" s="42" t="s">
        <v>890</v>
      </c>
      <c r="V183" s="44">
        <v>46191.0</v>
      </c>
      <c r="W183" s="41" t="s">
        <v>91</v>
      </c>
    </row>
    <row r="184" ht="15.75" customHeight="1">
      <c r="A184" s="37" t="s">
        <v>1139</v>
      </c>
      <c r="B184" s="37" t="s">
        <v>732</v>
      </c>
      <c r="C184" s="37" t="s">
        <v>1140</v>
      </c>
      <c r="D184" s="37" t="s">
        <v>753</v>
      </c>
      <c r="E184" s="37" t="s">
        <v>885</v>
      </c>
      <c r="F184" s="37" t="s">
        <v>609</v>
      </c>
      <c r="G184" s="37" t="s">
        <v>1141</v>
      </c>
      <c r="H184" s="37" t="s">
        <v>80</v>
      </c>
      <c r="I184" s="38" t="s">
        <v>80</v>
      </c>
      <c r="J184" s="37" t="s">
        <v>757</v>
      </c>
      <c r="K184" s="37" t="s">
        <v>82</v>
      </c>
      <c r="L184" s="37" t="s">
        <v>83</v>
      </c>
      <c r="M184" s="37"/>
      <c r="N184" s="39" t="s">
        <v>738</v>
      </c>
      <c r="O184" s="37" t="s">
        <v>86</v>
      </c>
      <c r="P184" s="37"/>
      <c r="Q184" s="37" t="s">
        <v>1142</v>
      </c>
      <c r="R184" s="37" t="s">
        <v>1143</v>
      </c>
      <c r="S184" s="37" t="s">
        <v>1144</v>
      </c>
      <c r="T184" s="37" t="s">
        <v>760</v>
      </c>
      <c r="U184" s="37" t="s">
        <v>890</v>
      </c>
      <c r="V184" s="40">
        <v>46191.0</v>
      </c>
      <c r="W184" s="41" t="s">
        <v>91</v>
      </c>
    </row>
    <row r="185" ht="15.75" customHeight="1">
      <c r="A185" s="42" t="s">
        <v>1145</v>
      </c>
      <c r="B185" s="42" t="s">
        <v>732</v>
      </c>
      <c r="C185" s="42" t="s">
        <v>1146</v>
      </c>
      <c r="D185" s="42" t="s">
        <v>753</v>
      </c>
      <c r="E185" s="42" t="s">
        <v>885</v>
      </c>
      <c r="F185" s="42" t="s">
        <v>631</v>
      </c>
      <c r="G185" s="42" t="s">
        <v>1147</v>
      </c>
      <c r="H185" s="42" t="s">
        <v>80</v>
      </c>
      <c r="I185" s="38" t="s">
        <v>80</v>
      </c>
      <c r="J185" s="42" t="s">
        <v>757</v>
      </c>
      <c r="K185" s="42" t="s">
        <v>737</v>
      </c>
      <c r="L185" s="42" t="s">
        <v>153</v>
      </c>
      <c r="M185" s="42"/>
      <c r="N185" s="39" t="s">
        <v>738</v>
      </c>
      <c r="O185" s="42" t="s">
        <v>86</v>
      </c>
      <c r="P185" s="42"/>
      <c r="Q185" s="42" t="s">
        <v>1148</v>
      </c>
      <c r="R185" s="42" t="s">
        <v>1149</v>
      </c>
      <c r="S185" s="42" t="s">
        <v>1150</v>
      </c>
      <c r="T185" s="42" t="s">
        <v>760</v>
      </c>
      <c r="U185" s="42" t="s">
        <v>890</v>
      </c>
      <c r="V185" s="44">
        <v>46191.0</v>
      </c>
      <c r="W185" s="41" t="s">
        <v>91</v>
      </c>
    </row>
    <row r="186" ht="15.75" customHeight="1">
      <c r="A186" s="37" t="s">
        <v>1151</v>
      </c>
      <c r="B186" s="37" t="s">
        <v>732</v>
      </c>
      <c r="C186" s="37" t="s">
        <v>1152</v>
      </c>
      <c r="D186" s="37" t="s">
        <v>753</v>
      </c>
      <c r="E186" s="37" t="s">
        <v>885</v>
      </c>
      <c r="F186" s="37" t="s">
        <v>1153</v>
      </c>
      <c r="G186" s="37" t="s">
        <v>1154</v>
      </c>
      <c r="H186" s="37" t="s">
        <v>80</v>
      </c>
      <c r="I186" s="38" t="s">
        <v>80</v>
      </c>
      <c r="J186" s="37" t="s">
        <v>757</v>
      </c>
      <c r="K186" s="37" t="s">
        <v>737</v>
      </c>
      <c r="L186" s="37" t="s">
        <v>153</v>
      </c>
      <c r="M186" s="37"/>
      <c r="N186" s="39" t="s">
        <v>738</v>
      </c>
      <c r="O186" s="37" t="s">
        <v>86</v>
      </c>
      <c r="P186" s="37"/>
      <c r="Q186" s="37" t="s">
        <v>1155</v>
      </c>
      <c r="R186" s="37" t="s">
        <v>1156</v>
      </c>
      <c r="S186" s="37" t="s">
        <v>1157</v>
      </c>
      <c r="T186" s="37" t="s">
        <v>760</v>
      </c>
      <c r="U186" s="37" t="s">
        <v>890</v>
      </c>
      <c r="V186" s="40">
        <v>46191.0</v>
      </c>
      <c r="W186" s="41" t="s">
        <v>91</v>
      </c>
    </row>
    <row r="187" ht="15.75" customHeight="1">
      <c r="A187" s="42" t="s">
        <v>1158</v>
      </c>
      <c r="B187" s="42" t="s">
        <v>732</v>
      </c>
      <c r="C187" s="42" t="s">
        <v>1159</v>
      </c>
      <c r="D187" s="42" t="s">
        <v>753</v>
      </c>
      <c r="E187" s="42" t="s">
        <v>885</v>
      </c>
      <c r="F187" s="42" t="s">
        <v>637</v>
      </c>
      <c r="G187" s="42" t="s">
        <v>1160</v>
      </c>
      <c r="H187" s="42" t="s">
        <v>80</v>
      </c>
      <c r="I187" s="38" t="s">
        <v>80</v>
      </c>
      <c r="J187" s="42" t="s">
        <v>81</v>
      </c>
      <c r="K187" s="42" t="s">
        <v>82</v>
      </c>
      <c r="L187" s="42" t="s">
        <v>83</v>
      </c>
      <c r="M187" s="42"/>
      <c r="N187" s="39" t="s">
        <v>738</v>
      </c>
      <c r="O187" s="42" t="s">
        <v>86</v>
      </c>
      <c r="P187" s="42"/>
      <c r="Q187" s="42" t="s">
        <v>1161</v>
      </c>
      <c r="R187" s="42" t="s">
        <v>1162</v>
      </c>
      <c r="S187" s="42"/>
      <c r="T187" s="42" t="s">
        <v>741</v>
      </c>
      <c r="U187" s="42" t="s">
        <v>890</v>
      </c>
      <c r="V187" s="44">
        <v>46191.0</v>
      </c>
      <c r="W187" s="41" t="s">
        <v>91</v>
      </c>
    </row>
    <row r="188" ht="15.75" customHeight="1">
      <c r="A188" s="37" t="s">
        <v>1163</v>
      </c>
      <c r="B188" s="37" t="s">
        <v>732</v>
      </c>
      <c r="C188" s="37" t="s">
        <v>1164</v>
      </c>
      <c r="D188" s="37" t="s">
        <v>753</v>
      </c>
      <c r="E188" s="37" t="s">
        <v>754</v>
      </c>
      <c r="F188" s="37" t="s">
        <v>674</v>
      </c>
      <c r="G188" s="37" t="s">
        <v>1165</v>
      </c>
      <c r="H188" s="37" t="s">
        <v>80</v>
      </c>
      <c r="I188" s="38" t="s">
        <v>80</v>
      </c>
      <c r="J188" s="37" t="s">
        <v>81</v>
      </c>
      <c r="K188" s="37" t="s">
        <v>82</v>
      </c>
      <c r="L188" s="37" t="s">
        <v>83</v>
      </c>
      <c r="M188" s="37"/>
      <c r="N188" s="39" t="s">
        <v>738</v>
      </c>
      <c r="O188" s="37" t="s">
        <v>86</v>
      </c>
      <c r="P188" s="37"/>
      <c r="Q188" s="37" t="s">
        <v>1166</v>
      </c>
      <c r="R188" s="37" t="s">
        <v>1167</v>
      </c>
      <c r="S188" s="37"/>
      <c r="T188" s="37" t="s">
        <v>741</v>
      </c>
      <c r="U188" s="37" t="s">
        <v>767</v>
      </c>
      <c r="V188" s="40">
        <v>46191.0</v>
      </c>
      <c r="W188" s="41" t="s">
        <v>91</v>
      </c>
    </row>
    <row r="189" ht="15.75" customHeight="1">
      <c r="A189" s="42" t="s">
        <v>1168</v>
      </c>
      <c r="B189" s="42" t="s">
        <v>732</v>
      </c>
      <c r="C189" s="42" t="s">
        <v>1169</v>
      </c>
      <c r="D189" s="42" t="s">
        <v>753</v>
      </c>
      <c r="E189" s="42" t="s">
        <v>754</v>
      </c>
      <c r="F189" s="42" t="s">
        <v>674</v>
      </c>
      <c r="G189" s="42" t="s">
        <v>1170</v>
      </c>
      <c r="H189" s="42" t="s">
        <v>80</v>
      </c>
      <c r="I189" s="38" t="s">
        <v>80</v>
      </c>
      <c r="J189" s="42" t="s">
        <v>81</v>
      </c>
      <c r="K189" s="42" t="s">
        <v>82</v>
      </c>
      <c r="L189" s="42" t="s">
        <v>83</v>
      </c>
      <c r="M189" s="42"/>
      <c r="N189" s="39" t="s">
        <v>738</v>
      </c>
      <c r="O189" s="42" t="s">
        <v>86</v>
      </c>
      <c r="P189" s="42"/>
      <c r="Q189" s="42" t="s">
        <v>1171</v>
      </c>
      <c r="R189" s="42" t="s">
        <v>1172</v>
      </c>
      <c r="S189" s="42"/>
      <c r="T189" s="42" t="s">
        <v>741</v>
      </c>
      <c r="U189" s="42" t="s">
        <v>767</v>
      </c>
      <c r="V189" s="44">
        <v>46191.0</v>
      </c>
      <c r="W189" s="41" t="s">
        <v>91</v>
      </c>
    </row>
    <row r="190" ht="15.75" customHeight="1">
      <c r="A190" s="37" t="s">
        <v>1173</v>
      </c>
      <c r="B190" s="37" t="s">
        <v>732</v>
      </c>
      <c r="C190" s="37" t="s">
        <v>1174</v>
      </c>
      <c r="D190" s="37" t="s">
        <v>753</v>
      </c>
      <c r="E190" s="37" t="s">
        <v>754</v>
      </c>
      <c r="F190" s="37" t="s">
        <v>685</v>
      </c>
      <c r="G190" s="37" t="s">
        <v>1175</v>
      </c>
      <c r="H190" s="37" t="s">
        <v>80</v>
      </c>
      <c r="I190" s="38" t="s">
        <v>80</v>
      </c>
      <c r="J190" s="37" t="s">
        <v>81</v>
      </c>
      <c r="K190" s="37" t="s">
        <v>82</v>
      </c>
      <c r="L190" s="37" t="s">
        <v>83</v>
      </c>
      <c r="M190" s="37"/>
      <c r="N190" s="39" t="s">
        <v>738</v>
      </c>
      <c r="O190" s="37" t="s">
        <v>86</v>
      </c>
      <c r="P190" s="37"/>
      <c r="Q190" s="37" t="s">
        <v>1176</v>
      </c>
      <c r="R190" s="37" t="s">
        <v>1177</v>
      </c>
      <c r="S190" s="37"/>
      <c r="T190" s="37" t="s">
        <v>741</v>
      </c>
      <c r="U190" s="37" t="s">
        <v>767</v>
      </c>
      <c r="V190" s="40">
        <v>46191.0</v>
      </c>
      <c r="W190" s="41" t="s">
        <v>91</v>
      </c>
    </row>
    <row r="191" ht="15.75" customHeight="1">
      <c r="A191" s="42" t="s">
        <v>1178</v>
      </c>
      <c r="B191" s="42" t="s">
        <v>732</v>
      </c>
      <c r="C191" s="42" t="s">
        <v>1179</v>
      </c>
      <c r="D191" s="42" t="s">
        <v>753</v>
      </c>
      <c r="E191" s="42" t="s">
        <v>754</v>
      </c>
      <c r="F191" s="42" t="s">
        <v>685</v>
      </c>
      <c r="G191" s="42" t="s">
        <v>1180</v>
      </c>
      <c r="H191" s="42" t="s">
        <v>80</v>
      </c>
      <c r="I191" s="38" t="s">
        <v>80</v>
      </c>
      <c r="J191" s="42" t="s">
        <v>81</v>
      </c>
      <c r="K191" s="42" t="s">
        <v>82</v>
      </c>
      <c r="L191" s="42" t="s">
        <v>83</v>
      </c>
      <c r="M191" s="42"/>
      <c r="N191" s="39" t="s">
        <v>738</v>
      </c>
      <c r="O191" s="42" t="s">
        <v>86</v>
      </c>
      <c r="P191" s="42"/>
      <c r="Q191" s="42" t="s">
        <v>1181</v>
      </c>
      <c r="R191" s="42" t="s">
        <v>1182</v>
      </c>
      <c r="S191" s="42"/>
      <c r="T191" s="42" t="s">
        <v>741</v>
      </c>
      <c r="U191" s="42" t="s">
        <v>767</v>
      </c>
      <c r="V191" s="44">
        <v>46191.0</v>
      </c>
      <c r="W191" s="41" t="s">
        <v>91</v>
      </c>
    </row>
    <row r="192" ht="15.75" customHeight="1">
      <c r="A192" s="37" t="s">
        <v>1183</v>
      </c>
      <c r="B192" s="37" t="s">
        <v>732</v>
      </c>
      <c r="C192" s="37" t="s">
        <v>1184</v>
      </c>
      <c r="D192" s="37" t="s">
        <v>745</v>
      </c>
      <c r="E192" s="37" t="s">
        <v>754</v>
      </c>
      <c r="F192" s="37" t="s">
        <v>691</v>
      </c>
      <c r="G192" s="37" t="s">
        <v>1185</v>
      </c>
      <c r="H192" s="37" t="s">
        <v>80</v>
      </c>
      <c r="I192" s="38" t="s">
        <v>80</v>
      </c>
      <c r="J192" s="37" t="s">
        <v>81</v>
      </c>
      <c r="K192" s="37" t="s">
        <v>938</v>
      </c>
      <c r="L192" s="37" t="s">
        <v>938</v>
      </c>
      <c r="M192" s="37"/>
      <c r="N192" s="39" t="s">
        <v>738</v>
      </c>
      <c r="O192" s="37" t="s">
        <v>86</v>
      </c>
      <c r="P192" s="37"/>
      <c r="Q192" s="37" t="s">
        <v>1186</v>
      </c>
      <c r="R192" s="37" t="s">
        <v>1187</v>
      </c>
      <c r="S192" s="37"/>
      <c r="T192" s="37" t="s">
        <v>741</v>
      </c>
      <c r="U192" s="37" t="s">
        <v>767</v>
      </c>
      <c r="V192" s="40">
        <v>46191.0</v>
      </c>
      <c r="W192" s="41" t="s">
        <v>100</v>
      </c>
    </row>
    <row r="193" ht="15.75" customHeight="1">
      <c r="A193" s="42" t="s">
        <v>1188</v>
      </c>
      <c r="B193" s="42" t="s">
        <v>732</v>
      </c>
      <c r="C193" s="42" t="s">
        <v>1189</v>
      </c>
      <c r="D193" s="42" t="s">
        <v>926</v>
      </c>
      <c r="E193" s="42" t="s">
        <v>754</v>
      </c>
      <c r="F193" s="42" t="s">
        <v>691</v>
      </c>
      <c r="G193" s="42" t="s">
        <v>1190</v>
      </c>
      <c r="H193" s="42" t="s">
        <v>80</v>
      </c>
      <c r="I193" s="38" t="s">
        <v>80</v>
      </c>
      <c r="J193" s="42" t="s">
        <v>81</v>
      </c>
      <c r="K193" s="42" t="s">
        <v>82</v>
      </c>
      <c r="L193" s="42" t="s">
        <v>83</v>
      </c>
      <c r="M193" s="42"/>
      <c r="N193" s="39" t="s">
        <v>738</v>
      </c>
      <c r="O193" s="42" t="s">
        <v>86</v>
      </c>
      <c r="P193" s="42"/>
      <c r="Q193" s="42" t="s">
        <v>1191</v>
      </c>
      <c r="R193" s="42" t="s">
        <v>1192</v>
      </c>
      <c r="S193" s="42"/>
      <c r="T193" s="42" t="s">
        <v>741</v>
      </c>
      <c r="U193" s="42" t="s">
        <v>767</v>
      </c>
      <c r="V193" s="44">
        <v>46191.0</v>
      </c>
      <c r="W193" s="41" t="s">
        <v>91</v>
      </c>
    </row>
    <row r="194" ht="15.75" customHeight="1">
      <c r="A194" s="37" t="s">
        <v>1193</v>
      </c>
      <c r="B194" s="37" t="s">
        <v>732</v>
      </c>
      <c r="C194" s="37" t="s">
        <v>1194</v>
      </c>
      <c r="D194" s="37" t="s">
        <v>926</v>
      </c>
      <c r="E194" s="37" t="s">
        <v>754</v>
      </c>
      <c r="F194" s="37" t="s">
        <v>703</v>
      </c>
      <c r="G194" s="37" t="s">
        <v>1195</v>
      </c>
      <c r="H194" s="37" t="s">
        <v>80</v>
      </c>
      <c r="I194" s="38" t="s">
        <v>80</v>
      </c>
      <c r="J194" s="37" t="s">
        <v>81</v>
      </c>
      <c r="K194" s="37" t="s">
        <v>82</v>
      </c>
      <c r="L194" s="37" t="s">
        <v>83</v>
      </c>
      <c r="M194" s="37"/>
      <c r="N194" s="39" t="s">
        <v>738</v>
      </c>
      <c r="O194" s="37" t="s">
        <v>86</v>
      </c>
      <c r="P194" s="37"/>
      <c r="Q194" s="37" t="s">
        <v>1196</v>
      </c>
      <c r="R194" s="37" t="s">
        <v>1197</v>
      </c>
      <c r="S194" s="37"/>
      <c r="T194" s="37" t="s">
        <v>741</v>
      </c>
      <c r="U194" s="37" t="s">
        <v>767</v>
      </c>
      <c r="V194" s="40">
        <v>46191.0</v>
      </c>
      <c r="W194" s="41" t="s">
        <v>91</v>
      </c>
    </row>
    <row r="195" ht="15.75" customHeight="1">
      <c r="A195" s="42" t="s">
        <v>1198</v>
      </c>
      <c r="B195" s="42" t="s">
        <v>732</v>
      </c>
      <c r="C195" s="42" t="s">
        <v>1199</v>
      </c>
      <c r="D195" s="42" t="s">
        <v>745</v>
      </c>
      <c r="E195" s="42" t="s">
        <v>754</v>
      </c>
      <c r="F195" s="42" t="s">
        <v>703</v>
      </c>
      <c r="G195" s="42" t="s">
        <v>1200</v>
      </c>
      <c r="H195" s="42" t="s">
        <v>80</v>
      </c>
      <c r="I195" s="38" t="s">
        <v>80</v>
      </c>
      <c r="J195" s="42" t="s">
        <v>81</v>
      </c>
      <c r="K195" s="42" t="s">
        <v>938</v>
      </c>
      <c r="L195" s="42" t="s">
        <v>938</v>
      </c>
      <c r="M195" s="42"/>
      <c r="N195" s="39" t="s">
        <v>738</v>
      </c>
      <c r="O195" s="42" t="s">
        <v>86</v>
      </c>
      <c r="P195" s="42"/>
      <c r="Q195" s="42" t="s">
        <v>1201</v>
      </c>
      <c r="R195" s="42" t="s">
        <v>1202</v>
      </c>
      <c r="S195" s="42"/>
      <c r="T195" s="42" t="s">
        <v>741</v>
      </c>
      <c r="U195" s="42" t="s">
        <v>767</v>
      </c>
      <c r="V195" s="44">
        <v>46191.0</v>
      </c>
      <c r="W195" s="41" t="s">
        <v>100</v>
      </c>
    </row>
    <row r="196" ht="15.75" customHeight="1">
      <c r="A196" s="37" t="s">
        <v>1203</v>
      </c>
      <c r="B196" s="37" t="s">
        <v>732</v>
      </c>
      <c r="C196" s="37" t="s">
        <v>1204</v>
      </c>
      <c r="D196" s="37" t="s">
        <v>734</v>
      </c>
      <c r="E196" s="37" t="s">
        <v>735</v>
      </c>
      <c r="F196" s="37" t="s">
        <v>735</v>
      </c>
      <c r="G196" s="37" t="s">
        <v>1205</v>
      </c>
      <c r="H196" s="37" t="s">
        <v>104</v>
      </c>
      <c r="I196" s="45" t="s">
        <v>104</v>
      </c>
      <c r="J196" s="37" t="s">
        <v>81</v>
      </c>
      <c r="K196" s="37" t="s">
        <v>737</v>
      </c>
      <c r="L196" s="37" t="s">
        <v>153</v>
      </c>
      <c r="M196" s="37"/>
      <c r="N196" s="39" t="s">
        <v>738</v>
      </c>
      <c r="O196" s="37" t="s">
        <v>86</v>
      </c>
      <c r="P196" s="37"/>
      <c r="Q196" s="37" t="s">
        <v>1206</v>
      </c>
      <c r="R196" s="37" t="s">
        <v>1207</v>
      </c>
      <c r="S196" s="37"/>
      <c r="T196" s="37" t="s">
        <v>741</v>
      </c>
      <c r="U196" s="37" t="s">
        <v>742</v>
      </c>
      <c r="V196" s="40">
        <v>46191.0</v>
      </c>
      <c r="W196" s="41" t="s">
        <v>91</v>
      </c>
    </row>
    <row r="197" ht="15.75" customHeight="1">
      <c r="A197" s="42" t="s">
        <v>1208</v>
      </c>
      <c r="B197" s="42" t="s">
        <v>732</v>
      </c>
      <c r="C197" s="42" t="s">
        <v>1209</v>
      </c>
      <c r="D197" s="42" t="s">
        <v>734</v>
      </c>
      <c r="E197" s="42" t="s">
        <v>735</v>
      </c>
      <c r="F197" s="42" t="s">
        <v>735</v>
      </c>
      <c r="G197" s="42" t="s">
        <v>1210</v>
      </c>
      <c r="H197" s="42" t="s">
        <v>104</v>
      </c>
      <c r="I197" s="45" t="s">
        <v>104</v>
      </c>
      <c r="J197" s="42" t="s">
        <v>81</v>
      </c>
      <c r="K197" s="42" t="s">
        <v>865</v>
      </c>
      <c r="L197" s="42" t="s">
        <v>669</v>
      </c>
      <c r="M197" s="42"/>
      <c r="N197" s="39" t="s">
        <v>738</v>
      </c>
      <c r="O197" s="42" t="s">
        <v>86</v>
      </c>
      <c r="P197" s="42"/>
      <c r="Q197" s="42" t="s">
        <v>1211</v>
      </c>
      <c r="R197" s="42" t="s">
        <v>1212</v>
      </c>
      <c r="S197" s="42"/>
      <c r="T197" s="42" t="s">
        <v>741</v>
      </c>
      <c r="U197" s="42" t="s">
        <v>742</v>
      </c>
      <c r="V197" s="44">
        <v>46191.0</v>
      </c>
      <c r="W197" s="41" t="s">
        <v>100</v>
      </c>
    </row>
    <row r="198" ht="15.75" customHeight="1">
      <c r="A198" s="37" t="s">
        <v>1213</v>
      </c>
      <c r="B198" s="37" t="s">
        <v>732</v>
      </c>
      <c r="C198" s="37" t="s">
        <v>1214</v>
      </c>
      <c r="D198" s="37" t="s">
        <v>920</v>
      </c>
      <c r="E198" s="37" t="s">
        <v>754</v>
      </c>
      <c r="F198" s="37" t="s">
        <v>1215</v>
      </c>
      <c r="G198" s="37" t="s">
        <v>1216</v>
      </c>
      <c r="H198" s="37" t="s">
        <v>104</v>
      </c>
      <c r="I198" s="45" t="s">
        <v>104</v>
      </c>
      <c r="J198" s="37" t="s">
        <v>81</v>
      </c>
      <c r="K198" s="37" t="s">
        <v>82</v>
      </c>
      <c r="L198" s="37" t="s">
        <v>83</v>
      </c>
      <c r="M198" s="37"/>
      <c r="N198" s="39" t="s">
        <v>738</v>
      </c>
      <c r="O198" s="37" t="s">
        <v>86</v>
      </c>
      <c r="P198" s="37"/>
      <c r="Q198" s="37" t="s">
        <v>1217</v>
      </c>
      <c r="R198" s="37" t="s">
        <v>1218</v>
      </c>
      <c r="S198" s="37"/>
      <c r="T198" s="37" t="s">
        <v>741</v>
      </c>
      <c r="U198" s="37" t="s">
        <v>742</v>
      </c>
      <c r="V198" s="40">
        <v>46191.0</v>
      </c>
      <c r="W198" s="41" t="s">
        <v>91</v>
      </c>
    </row>
    <row r="199" ht="15.75" customHeight="1">
      <c r="A199" s="42" t="s">
        <v>1219</v>
      </c>
      <c r="B199" s="42" t="s">
        <v>732</v>
      </c>
      <c r="C199" s="42" t="s">
        <v>1220</v>
      </c>
      <c r="D199" s="42" t="s">
        <v>753</v>
      </c>
      <c r="E199" s="42" t="s">
        <v>746</v>
      </c>
      <c r="F199" s="42" t="s">
        <v>834</v>
      </c>
      <c r="G199" s="42" t="s">
        <v>1221</v>
      </c>
      <c r="H199" s="42" t="s">
        <v>104</v>
      </c>
      <c r="I199" s="45" t="s">
        <v>104</v>
      </c>
      <c r="J199" s="42" t="s">
        <v>151</v>
      </c>
      <c r="K199" s="42" t="s">
        <v>865</v>
      </c>
      <c r="L199" s="42" t="s">
        <v>669</v>
      </c>
      <c r="M199" s="42"/>
      <c r="N199" s="47" t="s">
        <v>155</v>
      </c>
      <c r="O199" s="42" t="s">
        <v>86</v>
      </c>
      <c r="P199" s="42"/>
      <c r="Q199" s="42" t="s">
        <v>1222</v>
      </c>
      <c r="R199" s="42" t="s">
        <v>1223</v>
      </c>
      <c r="S199" s="42"/>
      <c r="T199" s="42" t="s">
        <v>157</v>
      </c>
      <c r="U199" s="42" t="s">
        <v>767</v>
      </c>
      <c r="V199" s="44">
        <v>46191.0</v>
      </c>
      <c r="W199" s="41" t="s">
        <v>100</v>
      </c>
    </row>
    <row r="200" ht="15.75" customHeight="1">
      <c r="A200" s="37" t="s">
        <v>1224</v>
      </c>
      <c r="B200" s="37" t="s">
        <v>732</v>
      </c>
      <c r="C200" s="37" t="s">
        <v>1225</v>
      </c>
      <c r="D200" s="37" t="s">
        <v>753</v>
      </c>
      <c r="E200" s="37" t="s">
        <v>746</v>
      </c>
      <c r="F200" s="37" t="s">
        <v>389</v>
      </c>
      <c r="G200" s="37" t="s">
        <v>1226</v>
      </c>
      <c r="H200" s="37" t="s">
        <v>104</v>
      </c>
      <c r="I200" s="45" t="s">
        <v>104</v>
      </c>
      <c r="J200" s="37" t="s">
        <v>95</v>
      </c>
      <c r="K200" s="37" t="s">
        <v>865</v>
      </c>
      <c r="L200" s="37" t="s">
        <v>669</v>
      </c>
      <c r="M200" s="37"/>
      <c r="N200" s="43" t="s">
        <v>97</v>
      </c>
      <c r="O200" s="37" t="s">
        <v>86</v>
      </c>
      <c r="P200" s="37"/>
      <c r="Q200" s="37" t="s">
        <v>1227</v>
      </c>
      <c r="R200" s="37" t="s">
        <v>1228</v>
      </c>
      <c r="S200" s="37" t="s">
        <v>1229</v>
      </c>
      <c r="T200" s="37" t="s">
        <v>99</v>
      </c>
      <c r="U200" s="37" t="s">
        <v>767</v>
      </c>
      <c r="V200" s="40">
        <v>46191.0</v>
      </c>
      <c r="W200" s="41" t="s">
        <v>100</v>
      </c>
    </row>
    <row r="201" ht="15.75" customHeight="1">
      <c r="A201" s="42" t="s">
        <v>1230</v>
      </c>
      <c r="B201" s="42" t="s">
        <v>732</v>
      </c>
      <c r="C201" s="42" t="s">
        <v>1231</v>
      </c>
      <c r="D201" s="42" t="s">
        <v>753</v>
      </c>
      <c r="E201" s="42" t="s">
        <v>746</v>
      </c>
      <c r="F201" s="42" t="s">
        <v>399</v>
      </c>
      <c r="G201" s="42" t="s">
        <v>1232</v>
      </c>
      <c r="H201" s="42" t="s">
        <v>104</v>
      </c>
      <c r="I201" s="45" t="s">
        <v>104</v>
      </c>
      <c r="J201" s="42" t="s">
        <v>757</v>
      </c>
      <c r="K201" s="42" t="s">
        <v>82</v>
      </c>
      <c r="L201" s="42" t="s">
        <v>83</v>
      </c>
      <c r="M201" s="42"/>
      <c r="N201" s="39" t="s">
        <v>738</v>
      </c>
      <c r="O201" s="42" t="s">
        <v>86</v>
      </c>
      <c r="P201" s="42"/>
      <c r="Q201" s="42" t="s">
        <v>1233</v>
      </c>
      <c r="R201" s="42" t="s">
        <v>1234</v>
      </c>
      <c r="S201" s="42" t="s">
        <v>1235</v>
      </c>
      <c r="T201" s="42" t="s">
        <v>760</v>
      </c>
      <c r="U201" s="42" t="s">
        <v>767</v>
      </c>
      <c r="V201" s="44">
        <v>46191.0</v>
      </c>
      <c r="W201" s="41" t="s">
        <v>91</v>
      </c>
    </row>
    <row r="202" ht="15.75" customHeight="1">
      <c r="A202" s="37" t="s">
        <v>1236</v>
      </c>
      <c r="B202" s="37" t="s">
        <v>732</v>
      </c>
      <c r="C202" s="37" t="s">
        <v>1237</v>
      </c>
      <c r="D202" s="37" t="s">
        <v>753</v>
      </c>
      <c r="E202" s="37" t="s">
        <v>858</v>
      </c>
      <c r="F202" s="37" t="s">
        <v>1060</v>
      </c>
      <c r="G202" s="37" t="s">
        <v>1238</v>
      </c>
      <c r="H202" s="37" t="s">
        <v>104</v>
      </c>
      <c r="I202" s="45" t="s">
        <v>104</v>
      </c>
      <c r="J202" s="37" t="s">
        <v>757</v>
      </c>
      <c r="K202" s="37" t="s">
        <v>82</v>
      </c>
      <c r="L202" s="37" t="s">
        <v>83</v>
      </c>
      <c r="M202" s="37"/>
      <c r="N202" s="39" t="s">
        <v>738</v>
      </c>
      <c r="O202" s="37" t="s">
        <v>86</v>
      </c>
      <c r="P202" s="37"/>
      <c r="Q202" s="37" t="s">
        <v>1239</v>
      </c>
      <c r="R202" s="37" t="s">
        <v>1240</v>
      </c>
      <c r="S202" s="37"/>
      <c r="T202" s="37" t="s">
        <v>760</v>
      </c>
      <c r="U202" s="37" t="s">
        <v>767</v>
      </c>
      <c r="V202" s="40">
        <v>46191.0</v>
      </c>
      <c r="W202" s="41" t="s">
        <v>91</v>
      </c>
    </row>
    <row r="203" ht="15.75" customHeight="1">
      <c r="A203" s="42" t="s">
        <v>1241</v>
      </c>
      <c r="B203" s="42" t="s">
        <v>732</v>
      </c>
      <c r="C203" s="42" t="s">
        <v>1242</v>
      </c>
      <c r="D203" s="42" t="s">
        <v>753</v>
      </c>
      <c r="E203" s="42" t="s">
        <v>858</v>
      </c>
      <c r="F203" s="42" t="s">
        <v>494</v>
      </c>
      <c r="G203" s="42" t="s">
        <v>1243</v>
      </c>
      <c r="H203" s="42" t="s">
        <v>104</v>
      </c>
      <c r="I203" s="45" t="s">
        <v>104</v>
      </c>
      <c r="J203" s="42" t="s">
        <v>757</v>
      </c>
      <c r="K203" s="42" t="s">
        <v>82</v>
      </c>
      <c r="L203" s="42" t="s">
        <v>83</v>
      </c>
      <c r="M203" s="42"/>
      <c r="N203" s="39" t="s">
        <v>738</v>
      </c>
      <c r="O203" s="42" t="s">
        <v>86</v>
      </c>
      <c r="P203" s="42"/>
      <c r="Q203" s="42" t="s">
        <v>1244</v>
      </c>
      <c r="R203" s="42" t="s">
        <v>1245</v>
      </c>
      <c r="S203" s="42"/>
      <c r="T203" s="42" t="s">
        <v>760</v>
      </c>
      <c r="U203" s="42" t="s">
        <v>767</v>
      </c>
      <c r="V203" s="44">
        <v>46191.0</v>
      </c>
      <c r="W203" s="41" t="s">
        <v>91</v>
      </c>
    </row>
    <row r="204" ht="15.75" customHeight="1">
      <c r="A204" s="37" t="s">
        <v>1246</v>
      </c>
      <c r="B204" s="37" t="s">
        <v>732</v>
      </c>
      <c r="C204" s="37" t="s">
        <v>1247</v>
      </c>
      <c r="D204" s="37" t="s">
        <v>753</v>
      </c>
      <c r="E204" s="37" t="s">
        <v>858</v>
      </c>
      <c r="F204" s="37" t="s">
        <v>538</v>
      </c>
      <c r="G204" s="37" t="s">
        <v>1248</v>
      </c>
      <c r="H204" s="37" t="s">
        <v>104</v>
      </c>
      <c r="I204" s="45" t="s">
        <v>104</v>
      </c>
      <c r="J204" s="37" t="s">
        <v>757</v>
      </c>
      <c r="K204" s="37" t="s">
        <v>82</v>
      </c>
      <c r="L204" s="37" t="s">
        <v>83</v>
      </c>
      <c r="M204" s="37"/>
      <c r="N204" s="39" t="s">
        <v>738</v>
      </c>
      <c r="O204" s="37" t="s">
        <v>86</v>
      </c>
      <c r="P204" s="37"/>
      <c r="Q204" s="37" t="s">
        <v>1249</v>
      </c>
      <c r="R204" s="37" t="s">
        <v>1250</v>
      </c>
      <c r="S204" s="37"/>
      <c r="T204" s="37" t="s">
        <v>760</v>
      </c>
      <c r="U204" s="37" t="s">
        <v>767</v>
      </c>
      <c r="V204" s="40">
        <v>46191.0</v>
      </c>
      <c r="W204" s="41" t="s">
        <v>91</v>
      </c>
    </row>
    <row r="205" ht="15.75" customHeight="1">
      <c r="A205" s="42" t="s">
        <v>1251</v>
      </c>
      <c r="B205" s="42" t="s">
        <v>732</v>
      </c>
      <c r="C205" s="42" t="s">
        <v>1252</v>
      </c>
      <c r="D205" s="42" t="s">
        <v>926</v>
      </c>
      <c r="E205" s="42" t="s">
        <v>858</v>
      </c>
      <c r="F205" s="42" t="s">
        <v>1060</v>
      </c>
      <c r="G205" s="42" t="s">
        <v>1253</v>
      </c>
      <c r="H205" s="42" t="s">
        <v>104</v>
      </c>
      <c r="I205" s="45" t="s">
        <v>104</v>
      </c>
      <c r="J205" s="42" t="s">
        <v>81</v>
      </c>
      <c r="K205" s="42" t="s">
        <v>82</v>
      </c>
      <c r="L205" s="42" t="s">
        <v>83</v>
      </c>
      <c r="M205" s="42"/>
      <c r="N205" s="39" t="s">
        <v>738</v>
      </c>
      <c r="O205" s="42" t="s">
        <v>86</v>
      </c>
      <c r="P205" s="42"/>
      <c r="Q205" s="42" t="s">
        <v>1254</v>
      </c>
      <c r="R205" s="42" t="s">
        <v>1255</v>
      </c>
      <c r="S205" s="42"/>
      <c r="T205" s="42" t="s">
        <v>741</v>
      </c>
      <c r="U205" s="42" t="s">
        <v>767</v>
      </c>
      <c r="V205" s="44">
        <v>46191.0</v>
      </c>
      <c r="W205" s="41" t="s">
        <v>91</v>
      </c>
    </row>
    <row r="206" ht="15.75" customHeight="1">
      <c r="A206" s="37" t="s">
        <v>1256</v>
      </c>
      <c r="B206" s="37" t="s">
        <v>732</v>
      </c>
      <c r="C206" s="37" t="s">
        <v>1257</v>
      </c>
      <c r="D206" s="37" t="s">
        <v>753</v>
      </c>
      <c r="E206" s="37" t="s">
        <v>885</v>
      </c>
      <c r="F206" s="37" t="s">
        <v>598</v>
      </c>
      <c r="G206" s="37" t="s">
        <v>1258</v>
      </c>
      <c r="H206" s="37" t="s">
        <v>104</v>
      </c>
      <c r="I206" s="45" t="s">
        <v>104</v>
      </c>
      <c r="J206" s="37" t="s">
        <v>757</v>
      </c>
      <c r="K206" s="37" t="s">
        <v>82</v>
      </c>
      <c r="L206" s="37" t="s">
        <v>83</v>
      </c>
      <c r="M206" s="37"/>
      <c r="N206" s="39" t="s">
        <v>738</v>
      </c>
      <c r="O206" s="37" t="s">
        <v>86</v>
      </c>
      <c r="P206" s="37"/>
      <c r="Q206" s="37" t="s">
        <v>1259</v>
      </c>
      <c r="R206" s="37" t="s">
        <v>1260</v>
      </c>
      <c r="S206" s="37" t="s">
        <v>1261</v>
      </c>
      <c r="T206" s="37" t="s">
        <v>760</v>
      </c>
      <c r="U206" s="37" t="s">
        <v>890</v>
      </c>
      <c r="V206" s="40">
        <v>46191.0</v>
      </c>
      <c r="W206" s="41" t="s">
        <v>91</v>
      </c>
    </row>
    <row r="207" ht="15.75" customHeight="1">
      <c r="A207" s="42" t="s">
        <v>1262</v>
      </c>
      <c r="B207" s="42" t="s">
        <v>732</v>
      </c>
      <c r="C207" s="42" t="s">
        <v>1263</v>
      </c>
      <c r="D207" s="42" t="s">
        <v>753</v>
      </c>
      <c r="E207" s="42" t="s">
        <v>885</v>
      </c>
      <c r="F207" s="42" t="s">
        <v>609</v>
      </c>
      <c r="G207" s="42" t="s">
        <v>1264</v>
      </c>
      <c r="H207" s="42" t="s">
        <v>104</v>
      </c>
      <c r="I207" s="45" t="s">
        <v>104</v>
      </c>
      <c r="J207" s="42" t="s">
        <v>757</v>
      </c>
      <c r="K207" s="42" t="s">
        <v>82</v>
      </c>
      <c r="L207" s="42" t="s">
        <v>83</v>
      </c>
      <c r="M207" s="42"/>
      <c r="N207" s="39" t="s">
        <v>738</v>
      </c>
      <c r="O207" s="42" t="s">
        <v>86</v>
      </c>
      <c r="P207" s="42"/>
      <c r="Q207" s="42" t="s">
        <v>1265</v>
      </c>
      <c r="R207" s="42" t="s">
        <v>1266</v>
      </c>
      <c r="S207" s="42" t="s">
        <v>1267</v>
      </c>
      <c r="T207" s="42" t="s">
        <v>760</v>
      </c>
      <c r="U207" s="42" t="s">
        <v>890</v>
      </c>
      <c r="V207" s="44">
        <v>46191.0</v>
      </c>
      <c r="W207" s="41" t="s">
        <v>91</v>
      </c>
    </row>
    <row r="208" ht="15.75" customHeight="1">
      <c r="A208" s="37" t="s">
        <v>1268</v>
      </c>
      <c r="B208" s="37" t="s">
        <v>732</v>
      </c>
      <c r="C208" s="37" t="s">
        <v>1269</v>
      </c>
      <c r="D208" s="37" t="s">
        <v>753</v>
      </c>
      <c r="E208" s="37" t="s">
        <v>885</v>
      </c>
      <c r="F208" s="37" t="s">
        <v>637</v>
      </c>
      <c r="G208" s="37" t="s">
        <v>1270</v>
      </c>
      <c r="H208" s="37" t="s">
        <v>104</v>
      </c>
      <c r="I208" s="45" t="s">
        <v>104</v>
      </c>
      <c r="J208" s="37" t="s">
        <v>757</v>
      </c>
      <c r="K208" s="37" t="s">
        <v>737</v>
      </c>
      <c r="L208" s="37" t="s">
        <v>153</v>
      </c>
      <c r="M208" s="37"/>
      <c r="N208" s="39" t="s">
        <v>738</v>
      </c>
      <c r="O208" s="37" t="s">
        <v>86</v>
      </c>
      <c r="P208" s="37"/>
      <c r="Q208" s="37" t="s">
        <v>1271</v>
      </c>
      <c r="R208" s="37" t="s">
        <v>1272</v>
      </c>
      <c r="S208" s="37" t="s">
        <v>1273</v>
      </c>
      <c r="T208" s="37" t="s">
        <v>760</v>
      </c>
      <c r="U208" s="37" t="s">
        <v>890</v>
      </c>
      <c r="V208" s="40">
        <v>46191.0</v>
      </c>
      <c r="W208" s="41" t="s">
        <v>91</v>
      </c>
    </row>
    <row r="209" ht="15.75" customHeight="1">
      <c r="A209" s="42" t="s">
        <v>1274</v>
      </c>
      <c r="B209" s="42" t="s">
        <v>732</v>
      </c>
      <c r="C209" s="42" t="s">
        <v>1275</v>
      </c>
      <c r="D209" s="42" t="s">
        <v>745</v>
      </c>
      <c r="E209" s="42" t="s">
        <v>754</v>
      </c>
      <c r="F209" s="42" t="s">
        <v>659</v>
      </c>
      <c r="G209" s="42" t="s">
        <v>1276</v>
      </c>
      <c r="H209" s="42" t="s">
        <v>104</v>
      </c>
      <c r="I209" s="45" t="s">
        <v>104</v>
      </c>
      <c r="J209" s="42" t="s">
        <v>81</v>
      </c>
      <c r="K209" s="42" t="s">
        <v>938</v>
      </c>
      <c r="L209" s="42" t="s">
        <v>938</v>
      </c>
      <c r="M209" s="42"/>
      <c r="N209" s="39" t="s">
        <v>738</v>
      </c>
      <c r="O209" s="42" t="s">
        <v>86</v>
      </c>
      <c r="P209" s="42"/>
      <c r="Q209" s="42" t="s">
        <v>1277</v>
      </c>
      <c r="R209" s="42" t="s">
        <v>1278</v>
      </c>
      <c r="S209" s="42"/>
      <c r="T209" s="42" t="s">
        <v>741</v>
      </c>
      <c r="U209" s="42" t="s">
        <v>767</v>
      </c>
      <c r="V209" s="44">
        <v>46191.0</v>
      </c>
      <c r="W209" s="41" t="s">
        <v>100</v>
      </c>
    </row>
    <row r="210" ht="15.75" customHeight="1">
      <c r="A210" s="37" t="s">
        <v>1279</v>
      </c>
      <c r="B210" s="37" t="s">
        <v>732</v>
      </c>
      <c r="C210" s="37" t="s">
        <v>1280</v>
      </c>
      <c r="D210" s="37" t="s">
        <v>926</v>
      </c>
      <c r="E210" s="37" t="s">
        <v>754</v>
      </c>
      <c r="F210" s="37" t="s">
        <v>666</v>
      </c>
      <c r="G210" s="37" t="s">
        <v>1281</v>
      </c>
      <c r="H210" s="37" t="s">
        <v>104</v>
      </c>
      <c r="I210" s="45" t="s">
        <v>104</v>
      </c>
      <c r="J210" s="37" t="s">
        <v>95</v>
      </c>
      <c r="K210" s="37" t="s">
        <v>865</v>
      </c>
      <c r="L210" s="37" t="s">
        <v>669</v>
      </c>
      <c r="M210" s="37"/>
      <c r="N210" s="43" t="s">
        <v>97</v>
      </c>
      <c r="O210" s="37" t="s">
        <v>86</v>
      </c>
      <c r="P210" s="37"/>
      <c r="Q210" s="37" t="s">
        <v>1282</v>
      </c>
      <c r="R210" s="37" t="s">
        <v>1283</v>
      </c>
      <c r="S210" s="37"/>
      <c r="T210" s="37" t="s">
        <v>99</v>
      </c>
      <c r="U210" s="37" t="s">
        <v>767</v>
      </c>
      <c r="V210" s="40">
        <v>46191.0</v>
      </c>
      <c r="W210" s="41" t="s">
        <v>100</v>
      </c>
    </row>
    <row r="211" ht="15.75" customHeight="1">
      <c r="A211" s="42" t="s">
        <v>1284</v>
      </c>
      <c r="B211" s="42" t="s">
        <v>732</v>
      </c>
      <c r="C211" s="42" t="s">
        <v>1285</v>
      </c>
      <c r="D211" s="42" t="s">
        <v>926</v>
      </c>
      <c r="E211" s="42" t="s">
        <v>754</v>
      </c>
      <c r="F211" s="42" t="s">
        <v>691</v>
      </c>
      <c r="G211" s="42" t="s">
        <v>1286</v>
      </c>
      <c r="H211" s="42" t="s">
        <v>104</v>
      </c>
      <c r="I211" s="45" t="s">
        <v>104</v>
      </c>
      <c r="J211" s="42" t="s">
        <v>81</v>
      </c>
      <c r="K211" s="42" t="s">
        <v>82</v>
      </c>
      <c r="L211" s="42" t="s">
        <v>83</v>
      </c>
      <c r="M211" s="42"/>
      <c r="N211" s="39" t="s">
        <v>738</v>
      </c>
      <c r="O211" s="42" t="s">
        <v>86</v>
      </c>
      <c r="P211" s="42"/>
      <c r="Q211" s="42" t="s">
        <v>1287</v>
      </c>
      <c r="R211" s="42" t="s">
        <v>1288</v>
      </c>
      <c r="S211" s="42"/>
      <c r="T211" s="42" t="s">
        <v>741</v>
      </c>
      <c r="U211" s="42" t="s">
        <v>767</v>
      </c>
      <c r="V211" s="44">
        <v>46191.0</v>
      </c>
      <c r="W211" s="41" t="s">
        <v>91</v>
      </c>
    </row>
    <row r="212" ht="15.75" customHeight="1">
      <c r="A212" s="37" t="s">
        <v>1289</v>
      </c>
      <c r="B212" s="37" t="s">
        <v>732</v>
      </c>
      <c r="C212" s="37" t="s">
        <v>1290</v>
      </c>
      <c r="D212" s="37" t="s">
        <v>926</v>
      </c>
      <c r="E212" s="37" t="s">
        <v>754</v>
      </c>
      <c r="F212" s="37" t="s">
        <v>709</v>
      </c>
      <c r="G212" s="37" t="s">
        <v>1291</v>
      </c>
      <c r="H212" s="37" t="s">
        <v>104</v>
      </c>
      <c r="I212" s="45" t="s">
        <v>104</v>
      </c>
      <c r="J212" s="37" t="s">
        <v>81</v>
      </c>
      <c r="K212" s="37" t="s">
        <v>82</v>
      </c>
      <c r="L212" s="37" t="s">
        <v>83</v>
      </c>
      <c r="M212" s="37"/>
      <c r="N212" s="39" t="s">
        <v>738</v>
      </c>
      <c r="O212" s="37" t="s">
        <v>86</v>
      </c>
      <c r="P212" s="37"/>
      <c r="Q212" s="37" t="s">
        <v>1292</v>
      </c>
      <c r="R212" s="37" t="s">
        <v>1293</v>
      </c>
      <c r="S212" s="37"/>
      <c r="T212" s="37" t="s">
        <v>741</v>
      </c>
      <c r="U212" s="37" t="s">
        <v>767</v>
      </c>
      <c r="V212" s="40">
        <v>46191.0</v>
      </c>
      <c r="W212" s="41" t="s">
        <v>91</v>
      </c>
    </row>
    <row r="213" ht="15.75" customHeight="1">
      <c r="A213" s="42" t="s">
        <v>1294</v>
      </c>
      <c r="B213" s="42" t="s">
        <v>732</v>
      </c>
      <c r="C213" s="42" t="s">
        <v>1295</v>
      </c>
      <c r="D213" s="42" t="s">
        <v>753</v>
      </c>
      <c r="E213" s="42" t="s">
        <v>754</v>
      </c>
      <c r="F213" s="42" t="s">
        <v>715</v>
      </c>
      <c r="G213" s="42" t="s">
        <v>1296</v>
      </c>
      <c r="H213" s="42" t="s">
        <v>104</v>
      </c>
      <c r="I213" s="45" t="s">
        <v>104</v>
      </c>
      <c r="J213" s="42" t="s">
        <v>81</v>
      </c>
      <c r="K213" s="42" t="s">
        <v>82</v>
      </c>
      <c r="L213" s="42" t="s">
        <v>83</v>
      </c>
      <c r="M213" s="42"/>
      <c r="N213" s="39" t="s">
        <v>738</v>
      </c>
      <c r="O213" s="42" t="s">
        <v>86</v>
      </c>
      <c r="P213" s="42"/>
      <c r="Q213" s="42" t="s">
        <v>1297</v>
      </c>
      <c r="R213" s="42" t="s">
        <v>1298</v>
      </c>
      <c r="S213" s="42"/>
      <c r="T213" s="42" t="s">
        <v>741</v>
      </c>
      <c r="U213" s="42" t="s">
        <v>767</v>
      </c>
      <c r="V213" s="44">
        <v>46191.0</v>
      </c>
      <c r="W213" s="41" t="s">
        <v>91</v>
      </c>
    </row>
    <row r="214" ht="15.75" customHeight="1">
      <c r="A214" s="37" t="s">
        <v>1299</v>
      </c>
      <c r="B214" s="37" t="s">
        <v>732</v>
      </c>
      <c r="C214" s="37" t="s">
        <v>1300</v>
      </c>
      <c r="D214" s="37" t="s">
        <v>926</v>
      </c>
      <c r="E214" s="37" t="s">
        <v>754</v>
      </c>
      <c r="F214" s="37" t="s">
        <v>968</v>
      </c>
      <c r="G214" s="37" t="s">
        <v>1301</v>
      </c>
      <c r="H214" s="37" t="s">
        <v>104</v>
      </c>
      <c r="I214" s="45" t="s">
        <v>104</v>
      </c>
      <c r="J214" s="37" t="s">
        <v>81</v>
      </c>
      <c r="K214" s="37" t="s">
        <v>489</v>
      </c>
      <c r="L214" s="37" t="s">
        <v>489</v>
      </c>
      <c r="M214" s="37"/>
      <c r="N214" s="39" t="s">
        <v>738</v>
      </c>
      <c r="O214" s="37" t="s">
        <v>86</v>
      </c>
      <c r="P214" s="37"/>
      <c r="Q214" s="37" t="s">
        <v>1302</v>
      </c>
      <c r="R214" s="37" t="s">
        <v>1303</v>
      </c>
      <c r="S214" s="37"/>
      <c r="T214" s="37" t="s">
        <v>741</v>
      </c>
      <c r="U214" s="37" t="s">
        <v>767</v>
      </c>
      <c r="V214" s="40">
        <v>46191.0</v>
      </c>
      <c r="W214" s="41" t="s">
        <v>100</v>
      </c>
    </row>
    <row r="215" ht="15.75" customHeight="1">
      <c r="A215" s="42" t="s">
        <v>1304</v>
      </c>
      <c r="B215" s="42" t="s">
        <v>732</v>
      </c>
      <c r="C215" s="42" t="s">
        <v>1305</v>
      </c>
      <c r="D215" s="42" t="s">
        <v>753</v>
      </c>
      <c r="E215" s="42" t="s">
        <v>754</v>
      </c>
      <c r="F215" s="42" t="s">
        <v>691</v>
      </c>
      <c r="G215" s="42" t="s">
        <v>1306</v>
      </c>
      <c r="H215" s="42" t="s">
        <v>104</v>
      </c>
      <c r="I215" s="45" t="s">
        <v>104</v>
      </c>
      <c r="J215" s="42" t="s">
        <v>95</v>
      </c>
      <c r="K215" s="42" t="s">
        <v>82</v>
      </c>
      <c r="L215" s="42" t="s">
        <v>83</v>
      </c>
      <c r="M215" s="42"/>
      <c r="N215" s="43" t="s">
        <v>97</v>
      </c>
      <c r="O215" s="42" t="s">
        <v>86</v>
      </c>
      <c r="P215" s="42"/>
      <c r="Q215" s="42" t="s">
        <v>1307</v>
      </c>
      <c r="R215" s="42" t="s">
        <v>1308</v>
      </c>
      <c r="S215" s="42"/>
      <c r="T215" s="42" t="s">
        <v>99</v>
      </c>
      <c r="U215" s="42" t="s">
        <v>767</v>
      </c>
      <c r="V215" s="44">
        <v>46191.0</v>
      </c>
      <c r="W215" s="41" t="s">
        <v>100</v>
      </c>
    </row>
    <row r="216" ht="15.75" customHeight="1">
      <c r="A216" s="37" t="s">
        <v>1309</v>
      </c>
      <c r="B216" s="37" t="s">
        <v>732</v>
      </c>
      <c r="C216" s="37" t="s">
        <v>1310</v>
      </c>
      <c r="D216" s="37" t="s">
        <v>734</v>
      </c>
      <c r="E216" s="37" t="s">
        <v>735</v>
      </c>
      <c r="F216" s="37" t="s">
        <v>735</v>
      </c>
      <c r="G216" s="37" t="s">
        <v>1311</v>
      </c>
      <c r="H216" s="37" t="s">
        <v>198</v>
      </c>
      <c r="I216" s="48" t="s">
        <v>198</v>
      </c>
      <c r="J216" s="37" t="s">
        <v>95</v>
      </c>
      <c r="K216" s="37" t="s">
        <v>489</v>
      </c>
      <c r="L216" s="37" t="s">
        <v>489</v>
      </c>
      <c r="M216" s="37"/>
      <c r="N216" s="43" t="s">
        <v>97</v>
      </c>
      <c r="O216" s="37" t="s">
        <v>86</v>
      </c>
      <c r="P216" s="37"/>
      <c r="Q216" s="37" t="s">
        <v>1312</v>
      </c>
      <c r="R216" s="37" t="s">
        <v>1313</v>
      </c>
      <c r="S216" s="37"/>
      <c r="T216" s="37" t="s">
        <v>99</v>
      </c>
      <c r="U216" s="37" t="s">
        <v>742</v>
      </c>
      <c r="V216" s="40">
        <v>46191.0</v>
      </c>
      <c r="W216" s="41" t="s">
        <v>100</v>
      </c>
    </row>
    <row r="217" ht="15.75" customHeight="1">
      <c r="A217" s="42" t="s">
        <v>1314</v>
      </c>
      <c r="B217" s="42" t="s">
        <v>732</v>
      </c>
      <c r="C217" s="42" t="s">
        <v>1315</v>
      </c>
      <c r="D217" s="42" t="s">
        <v>753</v>
      </c>
      <c r="E217" s="42" t="s">
        <v>858</v>
      </c>
      <c r="F217" s="42" t="s">
        <v>465</v>
      </c>
      <c r="G217" s="42" t="s">
        <v>1316</v>
      </c>
      <c r="H217" s="42" t="s">
        <v>198</v>
      </c>
      <c r="I217" s="48" t="s">
        <v>198</v>
      </c>
      <c r="J217" s="42" t="s">
        <v>757</v>
      </c>
      <c r="K217" s="42" t="s">
        <v>82</v>
      </c>
      <c r="L217" s="42" t="s">
        <v>1317</v>
      </c>
      <c r="M217" s="42"/>
      <c r="N217" s="39" t="s">
        <v>1318</v>
      </c>
      <c r="O217" s="42" t="s">
        <v>86</v>
      </c>
      <c r="P217" s="42"/>
      <c r="Q217" s="42" t="s">
        <v>1319</v>
      </c>
      <c r="R217" s="42" t="s">
        <v>1320</v>
      </c>
      <c r="S217" s="42"/>
      <c r="T217" s="42" t="s">
        <v>1321</v>
      </c>
      <c r="U217" s="42" t="s">
        <v>767</v>
      </c>
      <c r="V217" s="44">
        <v>46191.0</v>
      </c>
      <c r="W217" s="41" t="s">
        <v>100</v>
      </c>
    </row>
    <row r="218" ht="15.75" customHeight="1">
      <c r="A218" s="37" t="s">
        <v>1322</v>
      </c>
      <c r="B218" s="37" t="s">
        <v>732</v>
      </c>
      <c r="C218" s="37" t="s">
        <v>1323</v>
      </c>
      <c r="D218" s="37" t="s">
        <v>753</v>
      </c>
      <c r="E218" s="37" t="s">
        <v>858</v>
      </c>
      <c r="F218" s="37" t="s">
        <v>471</v>
      </c>
      <c r="G218" s="37" t="s">
        <v>1324</v>
      </c>
      <c r="H218" s="37" t="s">
        <v>198</v>
      </c>
      <c r="I218" s="48" t="s">
        <v>198</v>
      </c>
      <c r="J218" s="37" t="s">
        <v>757</v>
      </c>
      <c r="K218" s="37" t="s">
        <v>82</v>
      </c>
      <c r="L218" s="37" t="s">
        <v>1317</v>
      </c>
      <c r="M218" s="37"/>
      <c r="N218" s="39" t="s">
        <v>1318</v>
      </c>
      <c r="O218" s="37" t="s">
        <v>86</v>
      </c>
      <c r="P218" s="37"/>
      <c r="Q218" s="37" t="s">
        <v>1319</v>
      </c>
      <c r="R218" s="37" t="s">
        <v>1325</v>
      </c>
      <c r="S218" s="37"/>
      <c r="T218" s="37" t="s">
        <v>1321</v>
      </c>
      <c r="U218" s="37" t="s">
        <v>767</v>
      </c>
      <c r="V218" s="40">
        <v>46191.0</v>
      </c>
      <c r="W218" s="41" t="s">
        <v>100</v>
      </c>
    </row>
    <row r="219" ht="15.75" customHeight="1">
      <c r="A219" s="42" t="s">
        <v>1326</v>
      </c>
      <c r="B219" s="42" t="s">
        <v>732</v>
      </c>
      <c r="C219" s="42" t="s">
        <v>1327</v>
      </c>
      <c r="D219" s="42" t="s">
        <v>926</v>
      </c>
      <c r="E219" s="42" t="s">
        <v>858</v>
      </c>
      <c r="F219" s="42" t="s">
        <v>494</v>
      </c>
      <c r="G219" s="42" t="s">
        <v>1328</v>
      </c>
      <c r="H219" s="42" t="s">
        <v>198</v>
      </c>
      <c r="I219" s="48" t="s">
        <v>198</v>
      </c>
      <c r="J219" s="42" t="s">
        <v>81</v>
      </c>
      <c r="K219" s="42" t="s">
        <v>82</v>
      </c>
      <c r="L219" s="42" t="s">
        <v>83</v>
      </c>
      <c r="M219" s="42"/>
      <c r="N219" s="39" t="s">
        <v>738</v>
      </c>
      <c r="O219" s="42" t="s">
        <v>86</v>
      </c>
      <c r="P219" s="42"/>
      <c r="Q219" s="42" t="s">
        <v>1329</v>
      </c>
      <c r="R219" s="42" t="s">
        <v>1330</v>
      </c>
      <c r="S219" s="42"/>
      <c r="T219" s="42" t="s">
        <v>741</v>
      </c>
      <c r="U219" s="42" t="s">
        <v>767</v>
      </c>
      <c r="V219" s="44">
        <v>46191.0</v>
      </c>
      <c r="W219" s="41" t="s">
        <v>91</v>
      </c>
    </row>
    <row r="220" ht="15.75" customHeight="1">
      <c r="A220" s="37" t="s">
        <v>1331</v>
      </c>
      <c r="B220" s="37" t="s">
        <v>732</v>
      </c>
      <c r="C220" s="37" t="s">
        <v>1332</v>
      </c>
      <c r="D220" s="37" t="s">
        <v>926</v>
      </c>
      <c r="E220" s="37" t="s">
        <v>858</v>
      </c>
      <c r="F220" s="37" t="s">
        <v>538</v>
      </c>
      <c r="G220" s="37" t="s">
        <v>1333</v>
      </c>
      <c r="H220" s="37" t="s">
        <v>198</v>
      </c>
      <c r="I220" s="48" t="s">
        <v>198</v>
      </c>
      <c r="J220" s="37" t="s">
        <v>81</v>
      </c>
      <c r="K220" s="37" t="s">
        <v>82</v>
      </c>
      <c r="L220" s="37" t="s">
        <v>83</v>
      </c>
      <c r="M220" s="37"/>
      <c r="N220" s="39" t="s">
        <v>738</v>
      </c>
      <c r="O220" s="37" t="s">
        <v>86</v>
      </c>
      <c r="P220" s="37"/>
      <c r="Q220" s="37" t="s">
        <v>1334</v>
      </c>
      <c r="R220" s="37" t="s">
        <v>1335</v>
      </c>
      <c r="S220" s="37"/>
      <c r="T220" s="37" t="s">
        <v>741</v>
      </c>
      <c r="U220" s="37" t="s">
        <v>767</v>
      </c>
      <c r="V220" s="40">
        <v>46191.0</v>
      </c>
      <c r="W220" s="41" t="s">
        <v>91</v>
      </c>
    </row>
    <row r="221" ht="15.75" customHeight="1">
      <c r="A221" s="42" t="s">
        <v>1336</v>
      </c>
      <c r="B221" s="42" t="s">
        <v>732</v>
      </c>
      <c r="C221" s="42" t="s">
        <v>1337</v>
      </c>
      <c r="D221" s="42" t="s">
        <v>753</v>
      </c>
      <c r="E221" s="42" t="s">
        <v>885</v>
      </c>
      <c r="F221" s="42" t="s">
        <v>1153</v>
      </c>
      <c r="G221" s="42" t="s">
        <v>1338</v>
      </c>
      <c r="H221" s="42" t="s">
        <v>198</v>
      </c>
      <c r="I221" s="48" t="s">
        <v>198</v>
      </c>
      <c r="J221" s="42" t="s">
        <v>114</v>
      </c>
      <c r="K221" s="42" t="s">
        <v>115</v>
      </c>
      <c r="L221" s="42" t="s">
        <v>116</v>
      </c>
      <c r="M221" s="42"/>
      <c r="N221" s="46" t="s">
        <v>118</v>
      </c>
      <c r="O221" s="42" t="s">
        <v>86</v>
      </c>
      <c r="P221" s="42"/>
      <c r="Q221" s="42" t="s">
        <v>1339</v>
      </c>
      <c r="R221" s="42" t="s">
        <v>1340</v>
      </c>
      <c r="S221" s="42" t="s">
        <v>1157</v>
      </c>
      <c r="T221" s="42" t="s">
        <v>120</v>
      </c>
      <c r="U221" s="42" t="s">
        <v>890</v>
      </c>
      <c r="V221" s="44">
        <v>46191.0</v>
      </c>
      <c r="W221" s="41" t="s">
        <v>100</v>
      </c>
    </row>
    <row r="222" ht="15.75" customHeight="1">
      <c r="A222" s="37" t="s">
        <v>1341</v>
      </c>
      <c r="B222" s="37" t="s">
        <v>732</v>
      </c>
      <c r="C222" s="37" t="s">
        <v>1342</v>
      </c>
      <c r="D222" s="37" t="s">
        <v>926</v>
      </c>
      <c r="E222" s="37" t="s">
        <v>754</v>
      </c>
      <c r="F222" s="37" t="s">
        <v>1343</v>
      </c>
      <c r="G222" s="37" t="s">
        <v>1344</v>
      </c>
      <c r="H222" s="37" t="s">
        <v>198</v>
      </c>
      <c r="I222" s="48" t="s">
        <v>198</v>
      </c>
      <c r="J222" s="37" t="s">
        <v>81</v>
      </c>
      <c r="K222" s="37" t="s">
        <v>82</v>
      </c>
      <c r="L222" s="37" t="s">
        <v>83</v>
      </c>
      <c r="M222" s="37"/>
      <c r="N222" s="39" t="s">
        <v>738</v>
      </c>
      <c r="O222" s="37" t="s">
        <v>86</v>
      </c>
      <c r="P222" s="37"/>
      <c r="Q222" s="37" t="s">
        <v>1345</v>
      </c>
      <c r="R222" s="37" t="s">
        <v>1346</v>
      </c>
      <c r="S222" s="37"/>
      <c r="T222" s="37" t="s">
        <v>741</v>
      </c>
      <c r="U222" s="37" t="s">
        <v>767</v>
      </c>
      <c r="V222" s="40">
        <v>46191.0</v>
      </c>
      <c r="W222" s="41" t="s">
        <v>91</v>
      </c>
    </row>
    <row r="223" ht="15.75" customHeight="1">
      <c r="A223" s="42" t="s">
        <v>1347</v>
      </c>
      <c r="B223" s="42" t="s">
        <v>1348</v>
      </c>
      <c r="C223" s="42" t="s">
        <v>1349</v>
      </c>
      <c r="D223" s="42" t="s">
        <v>1350</v>
      </c>
      <c r="E223" s="42" t="s">
        <v>1351</v>
      </c>
      <c r="F223" s="42"/>
      <c r="G223" s="42" t="s">
        <v>1352</v>
      </c>
      <c r="H223" s="42" t="s">
        <v>1353</v>
      </c>
      <c r="I223" s="49" t="s">
        <v>221</v>
      </c>
      <c r="J223" s="42" t="s">
        <v>1354</v>
      </c>
      <c r="K223" s="42" t="s">
        <v>669</v>
      </c>
      <c r="L223" s="42" t="s">
        <v>669</v>
      </c>
      <c r="M223" s="42"/>
      <c r="N223" s="43" t="s">
        <v>1355</v>
      </c>
      <c r="O223" s="50" t="s">
        <v>1356</v>
      </c>
      <c r="P223" s="42" t="s">
        <v>1357</v>
      </c>
      <c r="Q223" s="42" t="s">
        <v>1358</v>
      </c>
      <c r="R223" s="42" t="s">
        <v>1359</v>
      </c>
      <c r="S223" s="42" t="s">
        <v>1360</v>
      </c>
      <c r="T223" s="42" t="s">
        <v>1361</v>
      </c>
      <c r="U223" s="42"/>
      <c r="V223" s="44">
        <v>46191.0</v>
      </c>
      <c r="W223" s="41" t="s">
        <v>100</v>
      </c>
    </row>
    <row r="224" ht="15.75" customHeight="1">
      <c r="A224" s="37" t="s">
        <v>1362</v>
      </c>
      <c r="B224" s="37" t="s">
        <v>1348</v>
      </c>
      <c r="C224" s="37" t="s">
        <v>1363</v>
      </c>
      <c r="D224" s="37" t="s">
        <v>1364</v>
      </c>
      <c r="E224" s="37" t="s">
        <v>1351</v>
      </c>
      <c r="F224" s="37"/>
      <c r="G224" s="37" t="s">
        <v>1365</v>
      </c>
      <c r="H224" s="37" t="s">
        <v>1353</v>
      </c>
      <c r="I224" s="49" t="s">
        <v>221</v>
      </c>
      <c r="J224" s="37" t="s">
        <v>1366</v>
      </c>
      <c r="K224" s="37" t="s">
        <v>737</v>
      </c>
      <c r="L224" s="37" t="s">
        <v>153</v>
      </c>
      <c r="M224" s="37"/>
      <c r="N224" s="43" t="s">
        <v>1355</v>
      </c>
      <c r="O224" s="50" t="s">
        <v>1356</v>
      </c>
      <c r="P224" s="37" t="s">
        <v>1367</v>
      </c>
      <c r="Q224" s="37" t="s">
        <v>1368</v>
      </c>
      <c r="R224" s="37" t="s">
        <v>1369</v>
      </c>
      <c r="S224" s="37" t="s">
        <v>1370</v>
      </c>
      <c r="T224" s="37" t="s">
        <v>1361</v>
      </c>
      <c r="U224" s="37"/>
      <c r="V224" s="40">
        <v>46191.0</v>
      </c>
      <c r="W224" s="41" t="s">
        <v>100</v>
      </c>
    </row>
    <row r="225" ht="15.75" customHeight="1">
      <c r="A225" s="42" t="s">
        <v>1371</v>
      </c>
      <c r="B225" s="42" t="s">
        <v>1348</v>
      </c>
      <c r="C225" s="42" t="s">
        <v>1372</v>
      </c>
      <c r="D225" s="42" t="s">
        <v>1373</v>
      </c>
      <c r="E225" s="42" t="s">
        <v>735</v>
      </c>
      <c r="F225" s="42"/>
      <c r="G225" s="42" t="s">
        <v>1374</v>
      </c>
      <c r="H225" s="42" t="s">
        <v>1375</v>
      </c>
      <c r="I225" s="45" t="s">
        <v>104</v>
      </c>
      <c r="J225" s="42" t="s">
        <v>1354</v>
      </c>
      <c r="K225" s="42" t="s">
        <v>669</v>
      </c>
      <c r="L225" s="42" t="s">
        <v>669</v>
      </c>
      <c r="M225" s="42"/>
      <c r="N225" s="39" t="s">
        <v>738</v>
      </c>
      <c r="O225" s="42" t="s">
        <v>86</v>
      </c>
      <c r="P225" s="42"/>
      <c r="Q225" s="42" t="s">
        <v>1376</v>
      </c>
      <c r="R225" s="42" t="s">
        <v>1377</v>
      </c>
      <c r="S225" s="42" t="s">
        <v>1378</v>
      </c>
      <c r="T225" s="42" t="s">
        <v>1379</v>
      </c>
      <c r="U225" s="42"/>
      <c r="V225" s="44">
        <v>46191.0</v>
      </c>
      <c r="W225" s="41" t="s">
        <v>100</v>
      </c>
    </row>
    <row r="226" ht="15.75" customHeight="1">
      <c r="A226" s="37" t="s">
        <v>1380</v>
      </c>
      <c r="B226" s="37" t="s">
        <v>1348</v>
      </c>
      <c r="C226" s="37" t="s">
        <v>1381</v>
      </c>
      <c r="D226" s="37" t="s">
        <v>1382</v>
      </c>
      <c r="E226" s="37" t="s">
        <v>735</v>
      </c>
      <c r="F226" s="37"/>
      <c r="G226" s="37" t="s">
        <v>1383</v>
      </c>
      <c r="H226" s="37" t="s">
        <v>1384</v>
      </c>
      <c r="I226" s="38" t="s">
        <v>80</v>
      </c>
      <c r="J226" s="37" t="s">
        <v>1354</v>
      </c>
      <c r="K226" s="37" t="s">
        <v>669</v>
      </c>
      <c r="L226" s="37" t="s">
        <v>669</v>
      </c>
      <c r="M226" s="37"/>
      <c r="N226" s="43" t="s">
        <v>1355</v>
      </c>
      <c r="O226" s="50" t="s">
        <v>1356</v>
      </c>
      <c r="P226" s="37" t="s">
        <v>1385</v>
      </c>
      <c r="Q226" s="37" t="s">
        <v>1386</v>
      </c>
      <c r="R226" s="37" t="s">
        <v>1387</v>
      </c>
      <c r="S226" s="37" t="s">
        <v>1388</v>
      </c>
      <c r="T226" s="37" t="s">
        <v>1361</v>
      </c>
      <c r="U226" s="37"/>
      <c r="V226" s="40">
        <v>46191.0</v>
      </c>
      <c r="W226" s="41" t="s">
        <v>100</v>
      </c>
    </row>
    <row r="227" ht="15.75" customHeight="1">
      <c r="A227" s="42" t="s">
        <v>1389</v>
      </c>
      <c r="B227" s="42" t="s">
        <v>1348</v>
      </c>
      <c r="C227" s="42" t="s">
        <v>1390</v>
      </c>
      <c r="D227" s="42" t="s">
        <v>1391</v>
      </c>
      <c r="E227" s="42" t="s">
        <v>735</v>
      </c>
      <c r="F227" s="42"/>
      <c r="G227" s="42" t="s">
        <v>1392</v>
      </c>
      <c r="H227" s="42" t="s">
        <v>1393</v>
      </c>
      <c r="I227" s="48" t="s">
        <v>198</v>
      </c>
      <c r="J227" s="42" t="s">
        <v>1354</v>
      </c>
      <c r="K227" s="42" t="s">
        <v>82</v>
      </c>
      <c r="L227" s="42" t="s">
        <v>83</v>
      </c>
      <c r="M227" s="42"/>
      <c r="N227" s="39" t="s">
        <v>738</v>
      </c>
      <c r="O227" s="42" t="s">
        <v>86</v>
      </c>
      <c r="P227" s="42"/>
      <c r="Q227" s="42" t="s">
        <v>1394</v>
      </c>
      <c r="R227" s="42" t="s">
        <v>1395</v>
      </c>
      <c r="S227" s="42" t="s">
        <v>1396</v>
      </c>
      <c r="T227" s="42" t="s">
        <v>1379</v>
      </c>
      <c r="U227" s="42"/>
      <c r="V227" s="44">
        <v>46191.0</v>
      </c>
      <c r="W227" s="41" t="s">
        <v>91</v>
      </c>
    </row>
    <row r="228" ht="15.75" customHeight="1">
      <c r="A228" s="37" t="s">
        <v>1397</v>
      </c>
      <c r="B228" s="37" t="s">
        <v>1348</v>
      </c>
      <c r="C228" s="37" t="s">
        <v>1398</v>
      </c>
      <c r="D228" s="37" t="s">
        <v>1399</v>
      </c>
      <c r="E228" s="37" t="s">
        <v>1400</v>
      </c>
      <c r="F228" s="37"/>
      <c r="G228" s="37" t="s">
        <v>1401</v>
      </c>
      <c r="H228" s="37" t="s">
        <v>1384</v>
      </c>
      <c r="I228" s="38" t="s">
        <v>80</v>
      </c>
      <c r="J228" s="37" t="s">
        <v>1354</v>
      </c>
      <c r="K228" s="37" t="s">
        <v>737</v>
      </c>
      <c r="L228" s="37" t="s">
        <v>153</v>
      </c>
      <c r="M228" s="37"/>
      <c r="N228" s="43" t="s">
        <v>1355</v>
      </c>
      <c r="O228" s="50" t="s">
        <v>1356</v>
      </c>
      <c r="P228" s="37" t="s">
        <v>1402</v>
      </c>
      <c r="Q228" s="37" t="s">
        <v>1403</v>
      </c>
      <c r="R228" s="37" t="s">
        <v>1404</v>
      </c>
      <c r="S228" s="37" t="s">
        <v>1405</v>
      </c>
      <c r="T228" s="37" t="s">
        <v>1361</v>
      </c>
      <c r="U228" s="37"/>
      <c r="V228" s="40">
        <v>46191.0</v>
      </c>
      <c r="W228" s="41" t="s">
        <v>100</v>
      </c>
    </row>
    <row r="229" ht="15.75" customHeight="1">
      <c r="A229" s="42" t="s">
        <v>1406</v>
      </c>
      <c r="B229" s="42" t="s">
        <v>1348</v>
      </c>
      <c r="C229" s="42" t="s">
        <v>1407</v>
      </c>
      <c r="D229" s="42" t="s">
        <v>1373</v>
      </c>
      <c r="E229" s="42" t="s">
        <v>1408</v>
      </c>
      <c r="F229" s="42"/>
      <c r="G229" s="42" t="s">
        <v>1409</v>
      </c>
      <c r="H229" s="42" t="s">
        <v>1384</v>
      </c>
      <c r="I229" s="38" t="s">
        <v>80</v>
      </c>
      <c r="J229" s="42" t="s">
        <v>1410</v>
      </c>
      <c r="K229" s="42" t="s">
        <v>737</v>
      </c>
      <c r="L229" s="42" t="s">
        <v>153</v>
      </c>
      <c r="M229" s="42"/>
      <c r="N229" s="46" t="s">
        <v>118</v>
      </c>
      <c r="O229" s="42" t="s">
        <v>86</v>
      </c>
      <c r="P229" s="42"/>
      <c r="Q229" s="42" t="s">
        <v>1411</v>
      </c>
      <c r="R229" s="42" t="s">
        <v>1412</v>
      </c>
      <c r="S229" s="42" t="s">
        <v>1413</v>
      </c>
      <c r="T229" s="42" t="s">
        <v>1414</v>
      </c>
      <c r="U229" s="42"/>
      <c r="V229" s="44">
        <v>46191.0</v>
      </c>
      <c r="W229" s="41" t="s">
        <v>100</v>
      </c>
    </row>
    <row r="230" ht="15.75" customHeight="1">
      <c r="A230" s="37" t="s">
        <v>1415</v>
      </c>
      <c r="B230" s="37" t="s">
        <v>1348</v>
      </c>
      <c r="C230" s="37" t="s">
        <v>1416</v>
      </c>
      <c r="D230" s="37" t="s">
        <v>1373</v>
      </c>
      <c r="E230" s="37" t="s">
        <v>1400</v>
      </c>
      <c r="F230" s="37"/>
      <c r="G230" s="37" t="s">
        <v>1417</v>
      </c>
      <c r="H230" s="37" t="s">
        <v>1375</v>
      </c>
      <c r="I230" s="45" t="s">
        <v>104</v>
      </c>
      <c r="J230" s="37" t="s">
        <v>1354</v>
      </c>
      <c r="K230" s="37" t="s">
        <v>737</v>
      </c>
      <c r="L230" s="37" t="s">
        <v>153</v>
      </c>
      <c r="M230" s="37"/>
      <c r="N230" s="39" t="s">
        <v>738</v>
      </c>
      <c r="O230" s="37" t="s">
        <v>86</v>
      </c>
      <c r="P230" s="37"/>
      <c r="Q230" s="37" t="s">
        <v>1418</v>
      </c>
      <c r="R230" s="37" t="s">
        <v>1419</v>
      </c>
      <c r="S230" s="37" t="s">
        <v>1420</v>
      </c>
      <c r="T230" s="37" t="s">
        <v>1379</v>
      </c>
      <c r="U230" s="37"/>
      <c r="V230" s="40">
        <v>46191.0</v>
      </c>
      <c r="W230" s="41" t="s">
        <v>91</v>
      </c>
    </row>
    <row r="231" ht="15.75" customHeight="1">
      <c r="A231" s="42" t="s">
        <v>1421</v>
      </c>
      <c r="B231" s="42" t="s">
        <v>1348</v>
      </c>
      <c r="C231" s="42" t="s">
        <v>1422</v>
      </c>
      <c r="D231" s="42" t="s">
        <v>1373</v>
      </c>
      <c r="E231" s="42" t="s">
        <v>1408</v>
      </c>
      <c r="F231" s="42"/>
      <c r="G231" s="42" t="s">
        <v>1423</v>
      </c>
      <c r="H231" s="42" t="s">
        <v>1375</v>
      </c>
      <c r="I231" s="45" t="s">
        <v>104</v>
      </c>
      <c r="J231" s="42" t="s">
        <v>1354</v>
      </c>
      <c r="K231" s="42" t="s">
        <v>105</v>
      </c>
      <c r="L231" s="42" t="s">
        <v>83</v>
      </c>
      <c r="M231" s="42"/>
      <c r="N231" s="47" t="s">
        <v>1424</v>
      </c>
      <c r="O231" s="51" t="s">
        <v>1425</v>
      </c>
      <c r="P231" s="42" t="s">
        <v>1426</v>
      </c>
      <c r="Q231" s="42" t="s">
        <v>1427</v>
      </c>
      <c r="R231" s="42" t="s">
        <v>1428</v>
      </c>
      <c r="S231" s="42" t="s">
        <v>1429</v>
      </c>
      <c r="T231" s="42" t="s">
        <v>1430</v>
      </c>
      <c r="U231" s="42"/>
      <c r="V231" s="44">
        <v>46191.0</v>
      </c>
      <c r="W231" s="41" t="s">
        <v>91</v>
      </c>
    </row>
    <row r="232" ht="15.75" customHeight="1">
      <c r="A232" s="37" t="s">
        <v>1431</v>
      </c>
      <c r="B232" s="37" t="s">
        <v>1348</v>
      </c>
      <c r="C232" s="37" t="s">
        <v>1432</v>
      </c>
      <c r="D232" s="37" t="s">
        <v>1433</v>
      </c>
      <c r="E232" s="37" t="s">
        <v>1351</v>
      </c>
      <c r="F232" s="37"/>
      <c r="G232" s="37" t="s">
        <v>1434</v>
      </c>
      <c r="H232" s="37" t="s">
        <v>1393</v>
      </c>
      <c r="I232" s="48" t="s">
        <v>198</v>
      </c>
      <c r="J232" s="37" t="s">
        <v>1354</v>
      </c>
      <c r="K232" s="37" t="s">
        <v>669</v>
      </c>
      <c r="L232" s="37" t="s">
        <v>669</v>
      </c>
      <c r="M232" s="37"/>
      <c r="N232" s="39" t="s">
        <v>738</v>
      </c>
      <c r="O232" s="37" t="s">
        <v>86</v>
      </c>
      <c r="P232" s="37"/>
      <c r="Q232" s="37" t="s">
        <v>1435</v>
      </c>
      <c r="R232" s="37" t="s">
        <v>1436</v>
      </c>
      <c r="S232" s="37" t="s">
        <v>1437</v>
      </c>
      <c r="T232" s="37" t="s">
        <v>1379</v>
      </c>
      <c r="U232" s="37"/>
      <c r="V232" s="40">
        <v>46191.0</v>
      </c>
      <c r="W232" s="41" t="s">
        <v>100</v>
      </c>
    </row>
    <row r="233" ht="15.75" customHeight="1">
      <c r="A233" s="42" t="s">
        <v>1438</v>
      </c>
      <c r="B233" s="42" t="s">
        <v>1348</v>
      </c>
      <c r="C233" s="42" t="s">
        <v>1439</v>
      </c>
      <c r="D233" s="42" t="s">
        <v>1350</v>
      </c>
      <c r="E233" s="42" t="s">
        <v>1351</v>
      </c>
      <c r="F233" s="42"/>
      <c r="G233" s="42" t="s">
        <v>1440</v>
      </c>
      <c r="H233" s="42" t="s">
        <v>1353</v>
      </c>
      <c r="I233" s="49" t="s">
        <v>221</v>
      </c>
      <c r="J233" s="42" t="s">
        <v>1354</v>
      </c>
      <c r="K233" s="42" t="s">
        <v>669</v>
      </c>
      <c r="L233" s="42" t="s">
        <v>669</v>
      </c>
      <c r="M233" s="42"/>
      <c r="N233" s="43" t="s">
        <v>1355</v>
      </c>
      <c r="O233" s="50" t="s">
        <v>1356</v>
      </c>
      <c r="P233" s="42" t="s">
        <v>1357</v>
      </c>
      <c r="Q233" s="42" t="s">
        <v>1441</v>
      </c>
      <c r="R233" s="42" t="s">
        <v>1442</v>
      </c>
      <c r="S233" s="42" t="s">
        <v>1443</v>
      </c>
      <c r="T233" s="42" t="s">
        <v>1361</v>
      </c>
      <c r="U233" s="42"/>
      <c r="V233" s="44">
        <v>46191.0</v>
      </c>
      <c r="W233" s="41" t="s">
        <v>100</v>
      </c>
    </row>
    <row r="234" ht="15.75" customHeight="1">
      <c r="A234" s="37" t="s">
        <v>1444</v>
      </c>
      <c r="B234" s="37" t="s">
        <v>1348</v>
      </c>
      <c r="C234" s="37" t="s">
        <v>1445</v>
      </c>
      <c r="D234" s="37" t="s">
        <v>1373</v>
      </c>
      <c r="E234" s="37" t="s">
        <v>1408</v>
      </c>
      <c r="F234" s="37"/>
      <c r="G234" s="37" t="s">
        <v>1446</v>
      </c>
      <c r="H234" s="37" t="s">
        <v>1384</v>
      </c>
      <c r="I234" s="38" t="s">
        <v>80</v>
      </c>
      <c r="J234" s="37" t="s">
        <v>1354</v>
      </c>
      <c r="K234" s="37" t="s">
        <v>737</v>
      </c>
      <c r="L234" s="37" t="s">
        <v>153</v>
      </c>
      <c r="M234" s="37"/>
      <c r="N234" s="39" t="s">
        <v>738</v>
      </c>
      <c r="O234" s="37" t="s">
        <v>86</v>
      </c>
      <c r="P234" s="37"/>
      <c r="Q234" s="37" t="s">
        <v>1447</v>
      </c>
      <c r="R234" s="37" t="s">
        <v>1448</v>
      </c>
      <c r="S234" s="37" t="s">
        <v>1449</v>
      </c>
      <c r="T234" s="37" t="s">
        <v>1379</v>
      </c>
      <c r="U234" s="37"/>
      <c r="V234" s="40">
        <v>46191.0</v>
      </c>
      <c r="W234" s="41" t="s">
        <v>91</v>
      </c>
    </row>
    <row r="235" ht="15.75" customHeight="1">
      <c r="A235" s="42" t="s">
        <v>1450</v>
      </c>
      <c r="B235" s="42" t="s">
        <v>1348</v>
      </c>
      <c r="C235" s="42" t="s">
        <v>1451</v>
      </c>
      <c r="D235" s="42" t="s">
        <v>1391</v>
      </c>
      <c r="E235" s="42" t="s">
        <v>1400</v>
      </c>
      <c r="F235" s="42"/>
      <c r="G235" s="42" t="s">
        <v>1452</v>
      </c>
      <c r="H235" s="42" t="s">
        <v>1393</v>
      </c>
      <c r="I235" s="48" t="s">
        <v>198</v>
      </c>
      <c r="J235" s="42" t="s">
        <v>1354</v>
      </c>
      <c r="K235" s="42" t="s">
        <v>737</v>
      </c>
      <c r="L235" s="42" t="s">
        <v>153</v>
      </c>
      <c r="M235" s="42"/>
      <c r="N235" s="39" t="s">
        <v>738</v>
      </c>
      <c r="O235" s="42" t="s">
        <v>86</v>
      </c>
      <c r="P235" s="42"/>
      <c r="Q235" s="42" t="s">
        <v>1453</v>
      </c>
      <c r="R235" s="42" t="s">
        <v>1454</v>
      </c>
      <c r="S235" s="42" t="s">
        <v>1455</v>
      </c>
      <c r="T235" s="42" t="s">
        <v>1379</v>
      </c>
      <c r="U235" s="42"/>
      <c r="V235" s="44">
        <v>46191.0</v>
      </c>
      <c r="W235" s="41" t="s">
        <v>91</v>
      </c>
    </row>
    <row r="236" ht="15.75" customHeight="1">
      <c r="A236" s="37" t="s">
        <v>1456</v>
      </c>
      <c r="B236" s="37" t="s">
        <v>1348</v>
      </c>
      <c r="C236" s="37" t="s">
        <v>1457</v>
      </c>
      <c r="D236" s="37" t="s">
        <v>1373</v>
      </c>
      <c r="E236" s="37" t="s">
        <v>1400</v>
      </c>
      <c r="F236" s="37"/>
      <c r="G236" s="37" t="s">
        <v>1458</v>
      </c>
      <c r="H236" s="37" t="s">
        <v>1375</v>
      </c>
      <c r="I236" s="45" t="s">
        <v>104</v>
      </c>
      <c r="J236" s="37" t="s">
        <v>1354</v>
      </c>
      <c r="K236" s="37" t="s">
        <v>737</v>
      </c>
      <c r="L236" s="37" t="s">
        <v>153</v>
      </c>
      <c r="M236" s="37"/>
      <c r="N236" s="39" t="s">
        <v>738</v>
      </c>
      <c r="O236" s="37" t="s">
        <v>86</v>
      </c>
      <c r="P236" s="37"/>
      <c r="Q236" s="37" t="s">
        <v>1459</v>
      </c>
      <c r="R236" s="37" t="s">
        <v>1460</v>
      </c>
      <c r="S236" s="37" t="s">
        <v>1461</v>
      </c>
      <c r="T236" s="37" t="s">
        <v>1379</v>
      </c>
      <c r="U236" s="37"/>
      <c r="V236" s="40">
        <v>46191.0</v>
      </c>
      <c r="W236" s="41" t="s">
        <v>91</v>
      </c>
    </row>
    <row r="237" ht="15.75" customHeight="1">
      <c r="A237" s="42" t="s">
        <v>1462</v>
      </c>
      <c r="B237" s="42" t="s">
        <v>1348</v>
      </c>
      <c r="C237" s="42" t="s">
        <v>1463</v>
      </c>
      <c r="D237" s="42" t="s">
        <v>1364</v>
      </c>
      <c r="E237" s="42" t="s">
        <v>1400</v>
      </c>
      <c r="F237" s="42"/>
      <c r="G237" s="42" t="s">
        <v>1464</v>
      </c>
      <c r="H237" s="42" t="s">
        <v>1384</v>
      </c>
      <c r="I237" s="38" t="s">
        <v>80</v>
      </c>
      <c r="J237" s="42" t="s">
        <v>1354</v>
      </c>
      <c r="K237" s="42" t="s">
        <v>737</v>
      </c>
      <c r="L237" s="42" t="s">
        <v>153</v>
      </c>
      <c r="M237" s="42"/>
      <c r="N237" s="47" t="s">
        <v>1465</v>
      </c>
      <c r="O237" s="52" t="s">
        <v>1466</v>
      </c>
      <c r="P237" s="42" t="s">
        <v>1467</v>
      </c>
      <c r="Q237" s="42" t="s">
        <v>1468</v>
      </c>
      <c r="R237" s="42" t="s">
        <v>1469</v>
      </c>
      <c r="S237" s="42" t="s">
        <v>1470</v>
      </c>
      <c r="T237" s="42" t="s">
        <v>1471</v>
      </c>
      <c r="U237" s="42"/>
      <c r="V237" s="44">
        <v>46191.0</v>
      </c>
      <c r="W237" s="41" t="s">
        <v>91</v>
      </c>
    </row>
    <row r="238" ht="15.75" customHeight="1">
      <c r="A238" s="37" t="s">
        <v>1472</v>
      </c>
      <c r="B238" s="37" t="s">
        <v>1348</v>
      </c>
      <c r="C238" s="37" t="s">
        <v>1473</v>
      </c>
      <c r="D238" s="37" t="s">
        <v>1433</v>
      </c>
      <c r="E238" s="37" t="s">
        <v>1400</v>
      </c>
      <c r="F238" s="37"/>
      <c r="G238" s="37" t="s">
        <v>1474</v>
      </c>
      <c r="H238" s="37" t="s">
        <v>1375</v>
      </c>
      <c r="I238" s="45" t="s">
        <v>104</v>
      </c>
      <c r="J238" s="37" t="s">
        <v>1354</v>
      </c>
      <c r="K238" s="37" t="s">
        <v>737</v>
      </c>
      <c r="L238" s="37" t="s">
        <v>153</v>
      </c>
      <c r="M238" s="37"/>
      <c r="N238" s="39" t="s">
        <v>738</v>
      </c>
      <c r="O238" s="37" t="s">
        <v>86</v>
      </c>
      <c r="P238" s="37"/>
      <c r="Q238" s="37" t="s">
        <v>1475</v>
      </c>
      <c r="R238" s="37" t="s">
        <v>1476</v>
      </c>
      <c r="S238" s="37" t="s">
        <v>1477</v>
      </c>
      <c r="T238" s="37" t="s">
        <v>1379</v>
      </c>
      <c r="U238" s="37"/>
      <c r="V238" s="40">
        <v>46191.0</v>
      </c>
      <c r="W238" s="41" t="s">
        <v>91</v>
      </c>
    </row>
    <row r="239" ht="15.75" customHeight="1">
      <c r="A239" s="42" t="s">
        <v>1478</v>
      </c>
      <c r="B239" s="42" t="s">
        <v>1348</v>
      </c>
      <c r="C239" s="42" t="s">
        <v>1479</v>
      </c>
      <c r="D239" s="42" t="s">
        <v>1399</v>
      </c>
      <c r="E239" s="42" t="s">
        <v>1400</v>
      </c>
      <c r="F239" s="42"/>
      <c r="G239" s="42" t="s">
        <v>1480</v>
      </c>
      <c r="H239" s="42" t="s">
        <v>1393</v>
      </c>
      <c r="I239" s="48" t="s">
        <v>198</v>
      </c>
      <c r="J239" s="42" t="s">
        <v>1354</v>
      </c>
      <c r="K239" s="42" t="s">
        <v>737</v>
      </c>
      <c r="L239" s="42" t="s">
        <v>153</v>
      </c>
      <c r="M239" s="42"/>
      <c r="N239" s="39" t="s">
        <v>738</v>
      </c>
      <c r="O239" s="42" t="s">
        <v>86</v>
      </c>
      <c r="P239" s="42"/>
      <c r="Q239" s="42" t="s">
        <v>1481</v>
      </c>
      <c r="R239" s="42" t="s">
        <v>1482</v>
      </c>
      <c r="S239" s="42" t="s">
        <v>1483</v>
      </c>
      <c r="T239" s="42" t="s">
        <v>1379</v>
      </c>
      <c r="U239" s="42"/>
      <c r="V239" s="44">
        <v>46191.0</v>
      </c>
      <c r="W239" s="41" t="s">
        <v>91</v>
      </c>
    </row>
    <row r="240" ht="15.75" customHeight="1">
      <c r="A240" s="37" t="s">
        <v>1484</v>
      </c>
      <c r="B240" s="37" t="s">
        <v>1348</v>
      </c>
      <c r="C240" s="37" t="s">
        <v>1485</v>
      </c>
      <c r="D240" s="37" t="s">
        <v>1399</v>
      </c>
      <c r="E240" s="37" t="s">
        <v>1400</v>
      </c>
      <c r="F240" s="37"/>
      <c r="G240" s="37" t="s">
        <v>1486</v>
      </c>
      <c r="H240" s="37" t="s">
        <v>1384</v>
      </c>
      <c r="I240" s="38" t="s">
        <v>80</v>
      </c>
      <c r="J240" s="37" t="s">
        <v>1354</v>
      </c>
      <c r="K240" s="37" t="s">
        <v>737</v>
      </c>
      <c r="L240" s="37" t="s">
        <v>153</v>
      </c>
      <c r="M240" s="37"/>
      <c r="N240" s="43" t="s">
        <v>1355</v>
      </c>
      <c r="O240" s="50" t="s">
        <v>1356</v>
      </c>
      <c r="P240" s="37" t="s">
        <v>1402</v>
      </c>
      <c r="Q240" s="37" t="s">
        <v>1487</v>
      </c>
      <c r="R240" s="37" t="s">
        <v>1488</v>
      </c>
      <c r="S240" s="37" t="s">
        <v>1489</v>
      </c>
      <c r="T240" s="37" t="s">
        <v>1361</v>
      </c>
      <c r="U240" s="37"/>
      <c r="V240" s="40">
        <v>46191.0</v>
      </c>
      <c r="W240" s="41" t="s">
        <v>100</v>
      </c>
    </row>
    <row r="241" ht="15.75" customHeight="1">
      <c r="A241" s="42" t="s">
        <v>1490</v>
      </c>
      <c r="B241" s="42" t="s">
        <v>1348</v>
      </c>
      <c r="C241" s="42" t="s">
        <v>1491</v>
      </c>
      <c r="D241" s="42" t="s">
        <v>1382</v>
      </c>
      <c r="E241" s="42" t="s">
        <v>1400</v>
      </c>
      <c r="F241" s="42"/>
      <c r="G241" s="42" t="s">
        <v>1492</v>
      </c>
      <c r="H241" s="42" t="s">
        <v>1384</v>
      </c>
      <c r="I241" s="38" t="s">
        <v>80</v>
      </c>
      <c r="J241" s="42" t="s">
        <v>1354</v>
      </c>
      <c r="K241" s="42" t="s">
        <v>1493</v>
      </c>
      <c r="L241" s="42" t="s">
        <v>153</v>
      </c>
      <c r="M241" s="42"/>
      <c r="N241" s="39" t="s">
        <v>738</v>
      </c>
      <c r="O241" s="42" t="s">
        <v>86</v>
      </c>
      <c r="P241" s="42"/>
      <c r="Q241" s="42" t="s">
        <v>1494</v>
      </c>
      <c r="R241" s="42" t="s">
        <v>1495</v>
      </c>
      <c r="S241" s="42" t="s">
        <v>1496</v>
      </c>
      <c r="T241" s="42" t="s">
        <v>1379</v>
      </c>
      <c r="U241" s="42"/>
      <c r="V241" s="44">
        <v>46191.0</v>
      </c>
      <c r="W241" s="41" t="s">
        <v>91</v>
      </c>
    </row>
    <row r="242" ht="15.75" customHeight="1">
      <c r="A242" s="37" t="s">
        <v>1497</v>
      </c>
      <c r="B242" s="37" t="s">
        <v>1348</v>
      </c>
      <c r="C242" s="37" t="s">
        <v>1498</v>
      </c>
      <c r="D242" s="37" t="s">
        <v>1499</v>
      </c>
      <c r="E242" s="37" t="s">
        <v>1400</v>
      </c>
      <c r="F242" s="37"/>
      <c r="G242" s="37" t="s">
        <v>1500</v>
      </c>
      <c r="H242" s="37" t="s">
        <v>1375</v>
      </c>
      <c r="I242" s="45" t="s">
        <v>104</v>
      </c>
      <c r="J242" s="37" t="s">
        <v>1501</v>
      </c>
      <c r="K242" s="37" t="s">
        <v>737</v>
      </c>
      <c r="L242" s="37" t="s">
        <v>153</v>
      </c>
      <c r="M242" s="37"/>
      <c r="N242" s="46" t="s">
        <v>1502</v>
      </c>
      <c r="O242" s="37" t="s">
        <v>86</v>
      </c>
      <c r="P242" s="37"/>
      <c r="Q242" s="37" t="s">
        <v>1503</v>
      </c>
      <c r="R242" s="37" t="s">
        <v>1504</v>
      </c>
      <c r="S242" s="37" t="s">
        <v>1505</v>
      </c>
      <c r="T242" s="37" t="s">
        <v>1506</v>
      </c>
      <c r="U242" s="37"/>
      <c r="V242" s="40">
        <v>46191.0</v>
      </c>
      <c r="W242" s="41" t="s">
        <v>100</v>
      </c>
    </row>
    <row r="243" ht="15.75" customHeight="1">
      <c r="A243" s="42" t="s">
        <v>1507</v>
      </c>
      <c r="B243" s="42" t="s">
        <v>1348</v>
      </c>
      <c r="C243" s="42" t="s">
        <v>1508</v>
      </c>
      <c r="D243" s="42" t="s">
        <v>1433</v>
      </c>
      <c r="E243" s="42" t="s">
        <v>1400</v>
      </c>
      <c r="F243" s="42"/>
      <c r="G243" s="42" t="s">
        <v>1509</v>
      </c>
      <c r="H243" s="42" t="s">
        <v>1393</v>
      </c>
      <c r="I243" s="48" t="s">
        <v>198</v>
      </c>
      <c r="J243" s="42" t="s">
        <v>1354</v>
      </c>
      <c r="K243" s="42" t="s">
        <v>737</v>
      </c>
      <c r="L243" s="42" t="s">
        <v>153</v>
      </c>
      <c r="M243" s="42"/>
      <c r="N243" s="39" t="s">
        <v>738</v>
      </c>
      <c r="O243" s="42" t="s">
        <v>86</v>
      </c>
      <c r="P243" s="42"/>
      <c r="Q243" s="42" t="s">
        <v>1510</v>
      </c>
      <c r="R243" s="42" t="s">
        <v>1511</v>
      </c>
      <c r="S243" s="42" t="s">
        <v>1512</v>
      </c>
      <c r="T243" s="42" t="s">
        <v>1379</v>
      </c>
      <c r="U243" s="42"/>
      <c r="V243" s="44">
        <v>46191.0</v>
      </c>
      <c r="W243" s="41" t="s">
        <v>91</v>
      </c>
    </row>
    <row r="244" ht="15.75" customHeight="1">
      <c r="A244" s="37" t="s">
        <v>1513</v>
      </c>
      <c r="B244" s="37" t="s">
        <v>1348</v>
      </c>
      <c r="C244" s="37" t="s">
        <v>1514</v>
      </c>
      <c r="D244" s="37" t="s">
        <v>1373</v>
      </c>
      <c r="E244" s="37" t="s">
        <v>1408</v>
      </c>
      <c r="F244" s="37"/>
      <c r="G244" s="37" t="s">
        <v>1515</v>
      </c>
      <c r="H244" s="37" t="s">
        <v>1384</v>
      </c>
      <c r="I244" s="38" t="s">
        <v>80</v>
      </c>
      <c r="J244" s="37" t="s">
        <v>1410</v>
      </c>
      <c r="K244" s="37" t="s">
        <v>737</v>
      </c>
      <c r="L244" s="37" t="s">
        <v>153</v>
      </c>
      <c r="M244" s="37"/>
      <c r="N244" s="46" t="s">
        <v>118</v>
      </c>
      <c r="O244" s="37" t="s">
        <v>86</v>
      </c>
      <c r="P244" s="37"/>
      <c r="Q244" s="37" t="s">
        <v>1516</v>
      </c>
      <c r="R244" s="37" t="s">
        <v>1517</v>
      </c>
      <c r="S244" s="37" t="s">
        <v>1518</v>
      </c>
      <c r="T244" s="37" t="s">
        <v>1414</v>
      </c>
      <c r="U244" s="37"/>
      <c r="V244" s="40">
        <v>46191.0</v>
      </c>
      <c r="W244" s="41" t="s">
        <v>100</v>
      </c>
    </row>
    <row r="245" ht="15.75" customHeight="1">
      <c r="A245" s="42" t="s">
        <v>1519</v>
      </c>
      <c r="B245" s="42" t="s">
        <v>1348</v>
      </c>
      <c r="C245" s="42" t="s">
        <v>1520</v>
      </c>
      <c r="D245" s="42" t="s">
        <v>1373</v>
      </c>
      <c r="E245" s="42" t="s">
        <v>1408</v>
      </c>
      <c r="F245" s="42"/>
      <c r="G245" s="42" t="s">
        <v>1521</v>
      </c>
      <c r="H245" s="42" t="s">
        <v>1384</v>
      </c>
      <c r="I245" s="38" t="s">
        <v>80</v>
      </c>
      <c r="J245" s="42" t="s">
        <v>1410</v>
      </c>
      <c r="K245" s="42" t="s">
        <v>737</v>
      </c>
      <c r="L245" s="42" t="s">
        <v>153</v>
      </c>
      <c r="M245" s="42"/>
      <c r="N245" s="46" t="s">
        <v>118</v>
      </c>
      <c r="O245" s="42" t="s">
        <v>86</v>
      </c>
      <c r="P245" s="42"/>
      <c r="Q245" s="42" t="s">
        <v>1522</v>
      </c>
      <c r="R245" s="42" t="s">
        <v>1523</v>
      </c>
      <c r="S245" s="42" t="s">
        <v>1524</v>
      </c>
      <c r="T245" s="42" t="s">
        <v>1414</v>
      </c>
      <c r="U245" s="42"/>
      <c r="V245" s="44">
        <v>46191.0</v>
      </c>
      <c r="W245" s="41" t="s">
        <v>100</v>
      </c>
    </row>
    <row r="246" ht="15.75" customHeight="1">
      <c r="A246" s="37" t="s">
        <v>1525</v>
      </c>
      <c r="B246" s="37" t="s">
        <v>1348</v>
      </c>
      <c r="C246" s="37" t="s">
        <v>1526</v>
      </c>
      <c r="D246" s="37" t="s">
        <v>1373</v>
      </c>
      <c r="E246" s="37" t="s">
        <v>1408</v>
      </c>
      <c r="F246" s="37"/>
      <c r="G246" s="37" t="s">
        <v>1527</v>
      </c>
      <c r="H246" s="37" t="s">
        <v>1384</v>
      </c>
      <c r="I246" s="38" t="s">
        <v>80</v>
      </c>
      <c r="J246" s="37" t="s">
        <v>1354</v>
      </c>
      <c r="K246" s="37" t="s">
        <v>105</v>
      </c>
      <c r="L246" s="37" t="s">
        <v>83</v>
      </c>
      <c r="M246" s="37"/>
      <c r="N246" s="39" t="s">
        <v>738</v>
      </c>
      <c r="O246" s="37" t="s">
        <v>86</v>
      </c>
      <c r="P246" s="37"/>
      <c r="Q246" s="37" t="s">
        <v>1528</v>
      </c>
      <c r="R246" s="37" t="s">
        <v>1529</v>
      </c>
      <c r="S246" s="37" t="s">
        <v>1530</v>
      </c>
      <c r="T246" s="37" t="s">
        <v>1379</v>
      </c>
      <c r="U246" s="37"/>
      <c r="V246" s="40">
        <v>46191.0</v>
      </c>
      <c r="W246" s="41" t="s">
        <v>91</v>
      </c>
    </row>
    <row r="247" ht="15.75" customHeight="1">
      <c r="A247" s="42" t="s">
        <v>1531</v>
      </c>
      <c r="B247" s="42" t="s">
        <v>1348</v>
      </c>
      <c r="C247" s="42" t="s">
        <v>1532</v>
      </c>
      <c r="D247" s="42" t="s">
        <v>1499</v>
      </c>
      <c r="E247" s="42" t="s">
        <v>1408</v>
      </c>
      <c r="F247" s="42"/>
      <c r="G247" s="42" t="s">
        <v>1533</v>
      </c>
      <c r="H247" s="42" t="s">
        <v>1375</v>
      </c>
      <c r="I247" s="45" t="s">
        <v>104</v>
      </c>
      <c r="J247" s="42" t="s">
        <v>1354</v>
      </c>
      <c r="K247" s="42" t="s">
        <v>82</v>
      </c>
      <c r="L247" s="42" t="s">
        <v>83</v>
      </c>
      <c r="M247" s="42"/>
      <c r="N247" s="43" t="s">
        <v>1355</v>
      </c>
      <c r="O247" s="50" t="s">
        <v>1356</v>
      </c>
      <c r="P247" s="42" t="s">
        <v>1534</v>
      </c>
      <c r="Q247" s="42" t="s">
        <v>1535</v>
      </c>
      <c r="R247" s="42" t="s">
        <v>1536</v>
      </c>
      <c r="S247" s="42" t="s">
        <v>1537</v>
      </c>
      <c r="T247" s="42" t="s">
        <v>1361</v>
      </c>
      <c r="U247" s="42"/>
      <c r="V247" s="44">
        <v>46191.0</v>
      </c>
      <c r="W247" s="41" t="s">
        <v>100</v>
      </c>
    </row>
    <row r="248" ht="15.75" customHeight="1">
      <c r="A248" s="37" t="s">
        <v>1538</v>
      </c>
      <c r="B248" s="37" t="s">
        <v>1348</v>
      </c>
      <c r="C248" s="37" t="s">
        <v>1539</v>
      </c>
      <c r="D248" s="37" t="s">
        <v>1499</v>
      </c>
      <c r="E248" s="37" t="s">
        <v>1408</v>
      </c>
      <c r="F248" s="37"/>
      <c r="G248" s="37" t="s">
        <v>1540</v>
      </c>
      <c r="H248" s="37" t="s">
        <v>1375</v>
      </c>
      <c r="I248" s="45" t="s">
        <v>104</v>
      </c>
      <c r="J248" s="37" t="s">
        <v>1354</v>
      </c>
      <c r="K248" s="37" t="s">
        <v>82</v>
      </c>
      <c r="L248" s="37" t="s">
        <v>83</v>
      </c>
      <c r="M248" s="37"/>
      <c r="N248" s="43" t="s">
        <v>1355</v>
      </c>
      <c r="O248" s="50" t="s">
        <v>1356</v>
      </c>
      <c r="P248" s="37" t="s">
        <v>1541</v>
      </c>
      <c r="Q248" s="37" t="s">
        <v>1542</v>
      </c>
      <c r="R248" s="37" t="s">
        <v>1543</v>
      </c>
      <c r="S248" s="37" t="s">
        <v>1544</v>
      </c>
      <c r="T248" s="37" t="s">
        <v>1361</v>
      </c>
      <c r="U248" s="37"/>
      <c r="V248" s="40">
        <v>46191.0</v>
      </c>
      <c r="W248" s="41" t="s">
        <v>100</v>
      </c>
    </row>
    <row r="249" ht="15.75" customHeight="1">
      <c r="A249" s="42" t="s">
        <v>1545</v>
      </c>
      <c r="B249" s="42" t="s">
        <v>1348</v>
      </c>
      <c r="C249" s="42" t="s">
        <v>1546</v>
      </c>
      <c r="D249" s="42" t="s">
        <v>1373</v>
      </c>
      <c r="E249" s="42" t="s">
        <v>1408</v>
      </c>
      <c r="F249" s="42"/>
      <c r="G249" s="42" t="s">
        <v>1547</v>
      </c>
      <c r="H249" s="42" t="s">
        <v>1384</v>
      </c>
      <c r="I249" s="38" t="s">
        <v>80</v>
      </c>
      <c r="J249" s="42" t="s">
        <v>1354</v>
      </c>
      <c r="K249" s="42" t="s">
        <v>82</v>
      </c>
      <c r="L249" s="42" t="s">
        <v>83</v>
      </c>
      <c r="M249" s="42"/>
      <c r="N249" s="47" t="s">
        <v>1424</v>
      </c>
      <c r="O249" s="51" t="s">
        <v>1425</v>
      </c>
      <c r="P249" s="42" t="s">
        <v>1548</v>
      </c>
      <c r="Q249" s="42" t="s">
        <v>1549</v>
      </c>
      <c r="R249" s="42" t="s">
        <v>1550</v>
      </c>
      <c r="S249" s="42" t="s">
        <v>1551</v>
      </c>
      <c r="T249" s="42" t="s">
        <v>1430</v>
      </c>
      <c r="U249" s="42"/>
      <c r="V249" s="44">
        <v>46191.0</v>
      </c>
      <c r="W249" s="41" t="s">
        <v>91</v>
      </c>
    </row>
    <row r="250" ht="15.75" customHeight="1">
      <c r="A250" s="37" t="s">
        <v>1552</v>
      </c>
      <c r="B250" s="37" t="s">
        <v>1348</v>
      </c>
      <c r="C250" s="37" t="s">
        <v>1553</v>
      </c>
      <c r="D250" s="37" t="s">
        <v>1382</v>
      </c>
      <c r="E250" s="37" t="s">
        <v>1408</v>
      </c>
      <c r="F250" s="37"/>
      <c r="G250" s="37" t="s">
        <v>1554</v>
      </c>
      <c r="H250" s="37" t="s">
        <v>1393</v>
      </c>
      <c r="I250" s="48" t="s">
        <v>198</v>
      </c>
      <c r="J250" s="37" t="s">
        <v>1354</v>
      </c>
      <c r="K250" s="37" t="s">
        <v>489</v>
      </c>
      <c r="L250" s="37" t="s">
        <v>489</v>
      </c>
      <c r="M250" s="37"/>
      <c r="N250" s="39" t="s">
        <v>738</v>
      </c>
      <c r="O250" s="37" t="s">
        <v>86</v>
      </c>
      <c r="P250" s="37"/>
      <c r="Q250" s="37" t="s">
        <v>1555</v>
      </c>
      <c r="R250" s="37" t="s">
        <v>1556</v>
      </c>
      <c r="S250" s="37" t="s">
        <v>1557</v>
      </c>
      <c r="T250" s="37" t="s">
        <v>1379</v>
      </c>
      <c r="U250" s="37"/>
      <c r="V250" s="40">
        <v>46191.0</v>
      </c>
      <c r="W250" s="41" t="s">
        <v>100</v>
      </c>
    </row>
    <row r="251" ht="15.75" customHeight="1">
      <c r="A251" s="42" t="s">
        <v>1558</v>
      </c>
      <c r="B251" s="42" t="s">
        <v>1348</v>
      </c>
      <c r="C251" s="42" t="s">
        <v>1559</v>
      </c>
      <c r="D251" s="42" t="s">
        <v>1373</v>
      </c>
      <c r="E251" s="42" t="s">
        <v>1408</v>
      </c>
      <c r="F251" s="42"/>
      <c r="G251" s="42" t="s">
        <v>1560</v>
      </c>
      <c r="H251" s="42" t="s">
        <v>1375</v>
      </c>
      <c r="I251" s="45" t="s">
        <v>104</v>
      </c>
      <c r="J251" s="42" t="s">
        <v>1354</v>
      </c>
      <c r="K251" s="42" t="s">
        <v>82</v>
      </c>
      <c r="L251" s="42" t="s">
        <v>83</v>
      </c>
      <c r="M251" s="42"/>
      <c r="N251" s="39" t="s">
        <v>738</v>
      </c>
      <c r="O251" s="42" t="s">
        <v>86</v>
      </c>
      <c r="P251" s="42"/>
      <c r="Q251" s="42" t="s">
        <v>1561</v>
      </c>
      <c r="R251" s="42" t="s">
        <v>1562</v>
      </c>
      <c r="S251" s="42" t="s">
        <v>1563</v>
      </c>
      <c r="T251" s="42" t="s">
        <v>1379</v>
      </c>
      <c r="U251" s="42"/>
      <c r="V251" s="44">
        <v>46191.0</v>
      </c>
      <c r="W251" s="41" t="s">
        <v>91</v>
      </c>
    </row>
    <row r="252" ht="15.75" customHeight="1">
      <c r="A252" s="37" t="s">
        <v>1564</v>
      </c>
      <c r="B252" s="37" t="s">
        <v>1348</v>
      </c>
      <c r="C252" s="37" t="s">
        <v>1565</v>
      </c>
      <c r="D252" s="37" t="s">
        <v>1433</v>
      </c>
      <c r="E252" s="37" t="s">
        <v>1408</v>
      </c>
      <c r="F252" s="37"/>
      <c r="G252" s="37" t="s">
        <v>1566</v>
      </c>
      <c r="H252" s="37" t="s">
        <v>1393</v>
      </c>
      <c r="I252" s="48" t="s">
        <v>198</v>
      </c>
      <c r="J252" s="37" t="s">
        <v>1354</v>
      </c>
      <c r="K252" s="37" t="s">
        <v>737</v>
      </c>
      <c r="L252" s="37" t="s">
        <v>153</v>
      </c>
      <c r="M252" s="37"/>
      <c r="N252" s="39" t="s">
        <v>738</v>
      </c>
      <c r="O252" s="37" t="s">
        <v>86</v>
      </c>
      <c r="P252" s="37"/>
      <c r="Q252" s="37" t="s">
        <v>1567</v>
      </c>
      <c r="R252" s="37" t="s">
        <v>1568</v>
      </c>
      <c r="S252" s="37" t="s">
        <v>1569</v>
      </c>
      <c r="T252" s="37" t="s">
        <v>1379</v>
      </c>
      <c r="U252" s="37"/>
      <c r="V252" s="40">
        <v>46191.0</v>
      </c>
      <c r="W252" s="41" t="s">
        <v>91</v>
      </c>
    </row>
    <row r="253" ht="15.75" customHeight="1">
      <c r="A253" s="42" t="s">
        <v>1570</v>
      </c>
      <c r="B253" s="42" t="s">
        <v>1348</v>
      </c>
      <c r="C253" s="42" t="s">
        <v>1571</v>
      </c>
      <c r="D253" s="42" t="s">
        <v>1499</v>
      </c>
      <c r="E253" s="42" t="s">
        <v>1408</v>
      </c>
      <c r="F253" s="42"/>
      <c r="G253" s="42" t="s">
        <v>1572</v>
      </c>
      <c r="H253" s="42" t="s">
        <v>1384</v>
      </c>
      <c r="I253" s="38" t="s">
        <v>80</v>
      </c>
      <c r="J253" s="42" t="s">
        <v>1354</v>
      </c>
      <c r="K253" s="42" t="s">
        <v>82</v>
      </c>
      <c r="L253" s="42" t="s">
        <v>83</v>
      </c>
      <c r="M253" s="42"/>
      <c r="N253" s="47" t="s">
        <v>1424</v>
      </c>
      <c r="O253" s="51" t="s">
        <v>1425</v>
      </c>
      <c r="P253" s="42" t="s">
        <v>1426</v>
      </c>
      <c r="Q253" s="42" t="s">
        <v>1573</v>
      </c>
      <c r="R253" s="42" t="s">
        <v>1574</v>
      </c>
      <c r="S253" s="42" t="s">
        <v>1575</v>
      </c>
      <c r="T253" s="42" t="s">
        <v>1430</v>
      </c>
      <c r="U253" s="42"/>
      <c r="V253" s="44">
        <v>46191.0</v>
      </c>
      <c r="W253" s="41" t="s">
        <v>91</v>
      </c>
    </row>
    <row r="254" ht="15.75" customHeight="1">
      <c r="A254" s="37" t="s">
        <v>1576</v>
      </c>
      <c r="B254" s="37" t="s">
        <v>1348</v>
      </c>
      <c r="C254" s="37" t="s">
        <v>1577</v>
      </c>
      <c r="D254" s="37" t="s">
        <v>1364</v>
      </c>
      <c r="E254" s="37" t="s">
        <v>1408</v>
      </c>
      <c r="F254" s="37"/>
      <c r="G254" s="37" t="s">
        <v>1578</v>
      </c>
      <c r="H254" s="37" t="s">
        <v>1393</v>
      </c>
      <c r="I254" s="48" t="s">
        <v>198</v>
      </c>
      <c r="J254" s="37" t="s">
        <v>1354</v>
      </c>
      <c r="K254" s="37" t="s">
        <v>115</v>
      </c>
      <c r="L254" s="37" t="s">
        <v>116</v>
      </c>
      <c r="M254" s="37"/>
      <c r="N254" s="39" t="s">
        <v>738</v>
      </c>
      <c r="O254" s="37" t="s">
        <v>86</v>
      </c>
      <c r="P254" s="37"/>
      <c r="Q254" s="37" t="s">
        <v>1579</v>
      </c>
      <c r="R254" s="37" t="s">
        <v>1580</v>
      </c>
      <c r="S254" s="37" t="s">
        <v>1581</v>
      </c>
      <c r="T254" s="37" t="s">
        <v>1379</v>
      </c>
      <c r="U254" s="37"/>
      <c r="V254" s="40">
        <v>46191.0</v>
      </c>
      <c r="W254" s="41" t="s">
        <v>100</v>
      </c>
    </row>
    <row r="255" ht="15.75" customHeight="1">
      <c r="A255" s="42" t="s">
        <v>1582</v>
      </c>
      <c r="B255" s="42" t="s">
        <v>1348</v>
      </c>
      <c r="C255" s="42" t="s">
        <v>1583</v>
      </c>
      <c r="D255" s="42" t="s">
        <v>1373</v>
      </c>
      <c r="E255" s="42" t="s">
        <v>1408</v>
      </c>
      <c r="F255" s="42"/>
      <c r="G255" s="42" t="s">
        <v>1584</v>
      </c>
      <c r="H255" s="42" t="s">
        <v>1375</v>
      </c>
      <c r="I255" s="45" t="s">
        <v>104</v>
      </c>
      <c r="J255" s="42" t="s">
        <v>1354</v>
      </c>
      <c r="K255" s="42" t="s">
        <v>737</v>
      </c>
      <c r="L255" s="42" t="s">
        <v>153</v>
      </c>
      <c r="M255" s="42"/>
      <c r="N255" s="39" t="s">
        <v>738</v>
      </c>
      <c r="O255" s="42" t="s">
        <v>86</v>
      </c>
      <c r="P255" s="42"/>
      <c r="Q255" s="42" t="s">
        <v>1585</v>
      </c>
      <c r="R255" s="42" t="s">
        <v>1586</v>
      </c>
      <c r="S255" s="42" t="s">
        <v>1587</v>
      </c>
      <c r="T255" s="42" t="s">
        <v>1379</v>
      </c>
      <c r="U255" s="42"/>
      <c r="V255" s="44">
        <v>46191.0</v>
      </c>
      <c r="W255" s="41" t="s">
        <v>91</v>
      </c>
    </row>
    <row r="256" ht="15.75" customHeight="1">
      <c r="A256" s="37" t="s">
        <v>1588</v>
      </c>
      <c r="B256" s="37" t="s">
        <v>1348</v>
      </c>
      <c r="C256" s="37" t="s">
        <v>1589</v>
      </c>
      <c r="D256" s="37" t="s">
        <v>926</v>
      </c>
      <c r="E256" s="37" t="s">
        <v>1408</v>
      </c>
      <c r="F256" s="37"/>
      <c r="G256" s="37" t="s">
        <v>1590</v>
      </c>
      <c r="H256" s="37" t="s">
        <v>1393</v>
      </c>
      <c r="I256" s="48" t="s">
        <v>198</v>
      </c>
      <c r="J256" s="37" t="s">
        <v>1591</v>
      </c>
      <c r="K256" s="37" t="s">
        <v>115</v>
      </c>
      <c r="L256" s="37" t="s">
        <v>116</v>
      </c>
      <c r="M256" s="37"/>
      <c r="N256" s="46" t="s">
        <v>1502</v>
      </c>
      <c r="O256" s="37" t="s">
        <v>86</v>
      </c>
      <c r="P256" s="37"/>
      <c r="Q256" s="37" t="s">
        <v>1592</v>
      </c>
      <c r="R256" s="37" t="s">
        <v>1593</v>
      </c>
      <c r="S256" s="37" t="s">
        <v>1594</v>
      </c>
      <c r="T256" s="37" t="s">
        <v>1595</v>
      </c>
      <c r="U256" s="37"/>
      <c r="V256" s="40">
        <v>46191.0</v>
      </c>
      <c r="W256" s="41" t="s">
        <v>100</v>
      </c>
    </row>
    <row r="257" ht="15.75" customHeight="1">
      <c r="A257" s="42" t="s">
        <v>1596</v>
      </c>
      <c r="B257" s="42" t="s">
        <v>1348</v>
      </c>
      <c r="C257" s="42" t="s">
        <v>1597</v>
      </c>
      <c r="D257" s="42" t="s">
        <v>1373</v>
      </c>
      <c r="E257" s="42" t="s">
        <v>1408</v>
      </c>
      <c r="F257" s="42"/>
      <c r="G257" s="42" t="s">
        <v>1598</v>
      </c>
      <c r="H257" s="42" t="s">
        <v>1384</v>
      </c>
      <c r="I257" s="38" t="s">
        <v>80</v>
      </c>
      <c r="J257" s="42" t="s">
        <v>1354</v>
      </c>
      <c r="K257" s="42" t="s">
        <v>105</v>
      </c>
      <c r="L257" s="42" t="s">
        <v>83</v>
      </c>
      <c r="M257" s="42"/>
      <c r="N257" s="39" t="s">
        <v>738</v>
      </c>
      <c r="O257" s="42" t="s">
        <v>86</v>
      </c>
      <c r="P257" s="42"/>
      <c r="Q257" s="42" t="s">
        <v>1599</v>
      </c>
      <c r="R257" s="42" t="s">
        <v>1600</v>
      </c>
      <c r="S257" s="42" t="s">
        <v>1601</v>
      </c>
      <c r="T257" s="42" t="s">
        <v>1379</v>
      </c>
      <c r="U257" s="42"/>
      <c r="V257" s="44">
        <v>46191.0</v>
      </c>
      <c r="W257" s="41" t="s">
        <v>91</v>
      </c>
    </row>
    <row r="258" ht="15.75" customHeight="1">
      <c r="A258" s="37" t="s">
        <v>1602</v>
      </c>
      <c r="B258" s="37" t="s">
        <v>1348</v>
      </c>
      <c r="C258" s="37" t="s">
        <v>1603</v>
      </c>
      <c r="D258" s="37" t="s">
        <v>1391</v>
      </c>
      <c r="E258" s="37" t="s">
        <v>1351</v>
      </c>
      <c r="F258" s="37"/>
      <c r="G258" s="37" t="s">
        <v>1604</v>
      </c>
      <c r="H258" s="37" t="s">
        <v>1375</v>
      </c>
      <c r="I258" s="45" t="s">
        <v>104</v>
      </c>
      <c r="J258" s="37" t="s">
        <v>1354</v>
      </c>
      <c r="K258" s="37" t="s">
        <v>1605</v>
      </c>
      <c r="L258" s="37" t="s">
        <v>153</v>
      </c>
      <c r="M258" s="37"/>
      <c r="N258" s="39" t="s">
        <v>738</v>
      </c>
      <c r="O258" s="37" t="s">
        <v>86</v>
      </c>
      <c r="P258" s="37"/>
      <c r="Q258" s="37" t="s">
        <v>1606</v>
      </c>
      <c r="R258" s="37" t="s">
        <v>1607</v>
      </c>
      <c r="S258" s="37" t="s">
        <v>1608</v>
      </c>
      <c r="T258" s="37" t="s">
        <v>1379</v>
      </c>
      <c r="U258" s="37"/>
      <c r="V258" s="40">
        <v>46191.0</v>
      </c>
      <c r="W258" s="41" t="s">
        <v>91</v>
      </c>
    </row>
    <row r="259" ht="15.75" customHeight="1">
      <c r="A259" s="42" t="s">
        <v>1609</v>
      </c>
      <c r="B259" s="42" t="s">
        <v>1348</v>
      </c>
      <c r="C259" s="42" t="s">
        <v>1610</v>
      </c>
      <c r="D259" s="42" t="s">
        <v>1364</v>
      </c>
      <c r="E259" s="42" t="s">
        <v>1351</v>
      </c>
      <c r="F259" s="42"/>
      <c r="G259" s="42" t="s">
        <v>1611</v>
      </c>
      <c r="H259" s="42" t="s">
        <v>1353</v>
      </c>
      <c r="I259" s="49" t="s">
        <v>221</v>
      </c>
      <c r="J259" s="42" t="s">
        <v>1501</v>
      </c>
      <c r="K259" s="42" t="s">
        <v>1612</v>
      </c>
      <c r="L259" s="42" t="s">
        <v>153</v>
      </c>
      <c r="M259" s="42"/>
      <c r="N259" s="46" t="s">
        <v>1502</v>
      </c>
      <c r="O259" s="42" t="s">
        <v>86</v>
      </c>
      <c r="P259" s="42"/>
      <c r="Q259" s="42" t="s">
        <v>1613</v>
      </c>
      <c r="R259" s="42" t="s">
        <v>1614</v>
      </c>
      <c r="S259" s="42" t="s">
        <v>1615</v>
      </c>
      <c r="T259" s="42" t="s">
        <v>1506</v>
      </c>
      <c r="U259" s="42"/>
      <c r="V259" s="44">
        <v>46191.0</v>
      </c>
      <c r="W259" s="41" t="s">
        <v>100</v>
      </c>
    </row>
    <row r="260" ht="15.75" customHeight="1">
      <c r="A260" s="37" t="s">
        <v>1616</v>
      </c>
      <c r="B260" s="37" t="s">
        <v>1348</v>
      </c>
      <c r="C260" s="37" t="s">
        <v>1617</v>
      </c>
      <c r="D260" s="37" t="s">
        <v>1399</v>
      </c>
      <c r="E260" s="37" t="s">
        <v>1351</v>
      </c>
      <c r="F260" s="37"/>
      <c r="G260" s="37" t="s">
        <v>1618</v>
      </c>
      <c r="H260" s="37" t="s">
        <v>1353</v>
      </c>
      <c r="I260" s="49" t="s">
        <v>221</v>
      </c>
      <c r="J260" s="37" t="s">
        <v>1366</v>
      </c>
      <c r="K260" s="37" t="s">
        <v>1612</v>
      </c>
      <c r="L260" s="37" t="s">
        <v>153</v>
      </c>
      <c r="M260" s="37"/>
      <c r="N260" s="43" t="s">
        <v>1355</v>
      </c>
      <c r="O260" s="50" t="s">
        <v>1356</v>
      </c>
      <c r="P260" s="37" t="s">
        <v>1367</v>
      </c>
      <c r="Q260" s="37" t="s">
        <v>1619</v>
      </c>
      <c r="R260" s="37" t="s">
        <v>1620</v>
      </c>
      <c r="S260" s="37" t="s">
        <v>1621</v>
      </c>
      <c r="T260" s="37" t="s">
        <v>1361</v>
      </c>
      <c r="U260" s="37"/>
      <c r="V260" s="40">
        <v>46191.0</v>
      </c>
      <c r="W260" s="41" t="s">
        <v>100</v>
      </c>
    </row>
    <row r="261" ht="15.75" customHeight="1">
      <c r="A261" s="42" t="s">
        <v>1622</v>
      </c>
      <c r="B261" s="42" t="s">
        <v>1348</v>
      </c>
      <c r="C261" s="42" t="s">
        <v>1623</v>
      </c>
      <c r="D261" s="42" t="s">
        <v>1373</v>
      </c>
      <c r="E261" s="42" t="s">
        <v>1351</v>
      </c>
      <c r="F261" s="42"/>
      <c r="G261" s="42" t="s">
        <v>1624</v>
      </c>
      <c r="H261" s="42" t="s">
        <v>1384</v>
      </c>
      <c r="I261" s="38" t="s">
        <v>80</v>
      </c>
      <c r="J261" s="42" t="s">
        <v>1354</v>
      </c>
      <c r="K261" s="42" t="s">
        <v>1612</v>
      </c>
      <c r="L261" s="42" t="s">
        <v>153</v>
      </c>
      <c r="M261" s="42"/>
      <c r="N261" s="39" t="s">
        <v>738</v>
      </c>
      <c r="O261" s="42" t="s">
        <v>86</v>
      </c>
      <c r="P261" s="42"/>
      <c r="Q261" s="42" t="s">
        <v>1625</v>
      </c>
      <c r="R261" s="42" t="s">
        <v>1626</v>
      </c>
      <c r="S261" s="42" t="s">
        <v>1627</v>
      </c>
      <c r="T261" s="42" t="s">
        <v>1379</v>
      </c>
      <c r="U261" s="42"/>
      <c r="V261" s="44">
        <v>46191.0</v>
      </c>
      <c r="W261" s="41" t="s">
        <v>91</v>
      </c>
    </row>
    <row r="262" ht="15.75" customHeight="1">
      <c r="A262" s="37" t="s">
        <v>1628</v>
      </c>
      <c r="B262" s="37" t="s">
        <v>1348</v>
      </c>
      <c r="C262" s="37" t="s">
        <v>1629</v>
      </c>
      <c r="D262" s="37" t="s">
        <v>1433</v>
      </c>
      <c r="E262" s="37" t="s">
        <v>1351</v>
      </c>
      <c r="F262" s="37"/>
      <c r="G262" s="37" t="s">
        <v>1630</v>
      </c>
      <c r="H262" s="37" t="s">
        <v>1393</v>
      </c>
      <c r="I262" s="48" t="s">
        <v>198</v>
      </c>
      <c r="J262" s="37" t="s">
        <v>1354</v>
      </c>
      <c r="K262" s="37" t="s">
        <v>669</v>
      </c>
      <c r="L262" s="37" t="s">
        <v>669</v>
      </c>
      <c r="M262" s="37"/>
      <c r="N262" s="39" t="s">
        <v>738</v>
      </c>
      <c r="O262" s="37" t="s">
        <v>86</v>
      </c>
      <c r="P262" s="37"/>
      <c r="Q262" s="37" t="s">
        <v>1631</v>
      </c>
      <c r="R262" s="37" t="s">
        <v>1632</v>
      </c>
      <c r="S262" s="37" t="s">
        <v>1633</v>
      </c>
      <c r="T262" s="37" t="s">
        <v>1379</v>
      </c>
      <c r="U262" s="37"/>
      <c r="V262" s="40">
        <v>46191.0</v>
      </c>
      <c r="W262" s="41" t="s">
        <v>100</v>
      </c>
    </row>
    <row r="263" ht="15.75" customHeight="1">
      <c r="A263" s="42" t="s">
        <v>1634</v>
      </c>
      <c r="B263" s="42" t="s">
        <v>1348</v>
      </c>
      <c r="C263" s="42" t="s">
        <v>1635</v>
      </c>
      <c r="D263" s="42" t="s">
        <v>1364</v>
      </c>
      <c r="E263" s="42" t="s">
        <v>1351</v>
      </c>
      <c r="F263" s="42"/>
      <c r="G263" s="42" t="s">
        <v>1636</v>
      </c>
      <c r="H263" s="42" t="s">
        <v>1375</v>
      </c>
      <c r="I263" s="45" t="s">
        <v>104</v>
      </c>
      <c r="J263" s="42" t="s">
        <v>1354</v>
      </c>
      <c r="K263" s="42" t="s">
        <v>737</v>
      </c>
      <c r="L263" s="42" t="s">
        <v>153</v>
      </c>
      <c r="M263" s="42"/>
      <c r="N263" s="39" t="s">
        <v>738</v>
      </c>
      <c r="O263" s="42" t="s">
        <v>86</v>
      </c>
      <c r="P263" s="42"/>
      <c r="Q263" s="42" t="s">
        <v>1637</v>
      </c>
      <c r="R263" s="42" t="s">
        <v>1638</v>
      </c>
      <c r="S263" s="42" t="s">
        <v>1639</v>
      </c>
      <c r="T263" s="42" t="s">
        <v>1379</v>
      </c>
      <c r="U263" s="42"/>
      <c r="V263" s="44">
        <v>46191.0</v>
      </c>
      <c r="W263" s="41" t="s">
        <v>91</v>
      </c>
    </row>
    <row r="264" ht="15.75" customHeight="1">
      <c r="A264" s="37" t="s">
        <v>1640</v>
      </c>
      <c r="B264" s="37" t="s">
        <v>1348</v>
      </c>
      <c r="C264" s="37" t="s">
        <v>1641</v>
      </c>
      <c r="D264" s="37" t="s">
        <v>1499</v>
      </c>
      <c r="E264" s="37" t="s">
        <v>1351</v>
      </c>
      <c r="F264" s="37"/>
      <c r="G264" s="37" t="s">
        <v>1642</v>
      </c>
      <c r="H264" s="37" t="s">
        <v>1384</v>
      </c>
      <c r="I264" s="38" t="s">
        <v>80</v>
      </c>
      <c r="J264" s="37" t="s">
        <v>1354</v>
      </c>
      <c r="K264" s="37" t="s">
        <v>105</v>
      </c>
      <c r="L264" s="37" t="s">
        <v>83</v>
      </c>
      <c r="M264" s="37"/>
      <c r="N264" s="47" t="s">
        <v>1465</v>
      </c>
      <c r="O264" s="52" t="s">
        <v>1466</v>
      </c>
      <c r="P264" s="37" t="s">
        <v>1643</v>
      </c>
      <c r="Q264" s="37" t="s">
        <v>1644</v>
      </c>
      <c r="R264" s="37" t="s">
        <v>1645</v>
      </c>
      <c r="S264" s="37" t="s">
        <v>1646</v>
      </c>
      <c r="T264" s="37" t="s">
        <v>1471</v>
      </c>
      <c r="U264" s="37"/>
      <c r="V264" s="40">
        <v>46191.0</v>
      </c>
      <c r="W264" s="41" t="s">
        <v>91</v>
      </c>
    </row>
    <row r="265" ht="15.75" customHeight="1">
      <c r="A265" s="42" t="s">
        <v>1647</v>
      </c>
      <c r="B265" s="42" t="s">
        <v>1348</v>
      </c>
      <c r="C265" s="42" t="s">
        <v>1648</v>
      </c>
      <c r="D265" s="42" t="s">
        <v>1382</v>
      </c>
      <c r="E265" s="42" t="s">
        <v>1351</v>
      </c>
      <c r="F265" s="42"/>
      <c r="G265" s="42" t="s">
        <v>1649</v>
      </c>
      <c r="H265" s="42" t="s">
        <v>1384</v>
      </c>
      <c r="I265" s="38" t="s">
        <v>80</v>
      </c>
      <c r="J265" s="42" t="s">
        <v>1354</v>
      </c>
      <c r="K265" s="42" t="s">
        <v>737</v>
      </c>
      <c r="L265" s="42" t="s">
        <v>153</v>
      </c>
      <c r="M265" s="42"/>
      <c r="N265" s="39" t="s">
        <v>738</v>
      </c>
      <c r="O265" s="42" t="s">
        <v>86</v>
      </c>
      <c r="P265" s="42"/>
      <c r="Q265" s="42" t="s">
        <v>1650</v>
      </c>
      <c r="R265" s="42" t="s">
        <v>1651</v>
      </c>
      <c r="S265" s="42" t="s">
        <v>1652</v>
      </c>
      <c r="T265" s="42" t="s">
        <v>1379</v>
      </c>
      <c r="U265" s="42"/>
      <c r="V265" s="44">
        <v>46191.0</v>
      </c>
      <c r="W265" s="41" t="s">
        <v>91</v>
      </c>
    </row>
    <row r="266" ht="15.75" customHeight="1">
      <c r="A266" s="37" t="s">
        <v>1653</v>
      </c>
      <c r="B266" s="37" t="s">
        <v>1348</v>
      </c>
      <c r="C266" s="37" t="s">
        <v>1654</v>
      </c>
      <c r="D266" s="37" t="s">
        <v>1399</v>
      </c>
      <c r="E266" s="37" t="s">
        <v>1351</v>
      </c>
      <c r="F266" s="37"/>
      <c r="G266" s="37" t="s">
        <v>1655</v>
      </c>
      <c r="H266" s="37" t="s">
        <v>1393</v>
      </c>
      <c r="I266" s="48" t="s">
        <v>198</v>
      </c>
      <c r="J266" s="37" t="s">
        <v>1354</v>
      </c>
      <c r="K266" s="37" t="s">
        <v>669</v>
      </c>
      <c r="L266" s="37" t="s">
        <v>669</v>
      </c>
      <c r="M266" s="37"/>
      <c r="N266" s="39" t="s">
        <v>738</v>
      </c>
      <c r="O266" s="37" t="s">
        <v>86</v>
      </c>
      <c r="P266" s="37"/>
      <c r="Q266" s="37" t="s">
        <v>1656</v>
      </c>
      <c r="R266" s="37" t="s">
        <v>1657</v>
      </c>
      <c r="S266" s="37" t="s">
        <v>1658</v>
      </c>
      <c r="T266" s="37" t="s">
        <v>1379</v>
      </c>
      <c r="U266" s="37"/>
      <c r="V266" s="40">
        <v>46191.0</v>
      </c>
      <c r="W266" s="41" t="s">
        <v>100</v>
      </c>
    </row>
    <row r="267" ht="15.75" customHeight="1">
      <c r="A267" s="42" t="s">
        <v>1659</v>
      </c>
      <c r="B267" s="42" t="s">
        <v>1348</v>
      </c>
      <c r="C267" s="42" t="s">
        <v>1660</v>
      </c>
      <c r="D267" s="42" t="s">
        <v>1433</v>
      </c>
      <c r="E267" s="42" t="s">
        <v>1351</v>
      </c>
      <c r="F267" s="42"/>
      <c r="G267" s="42" t="s">
        <v>1661</v>
      </c>
      <c r="H267" s="42" t="s">
        <v>1384</v>
      </c>
      <c r="I267" s="38" t="s">
        <v>80</v>
      </c>
      <c r="J267" s="42" t="s">
        <v>1354</v>
      </c>
      <c r="K267" s="42" t="s">
        <v>669</v>
      </c>
      <c r="L267" s="42" t="s">
        <v>669</v>
      </c>
      <c r="M267" s="42"/>
      <c r="N267" s="39" t="s">
        <v>738</v>
      </c>
      <c r="O267" s="42" t="s">
        <v>86</v>
      </c>
      <c r="P267" s="42"/>
      <c r="Q267" s="42" t="s">
        <v>1662</v>
      </c>
      <c r="R267" s="42" t="s">
        <v>1663</v>
      </c>
      <c r="S267" s="42" t="s">
        <v>1664</v>
      </c>
      <c r="T267" s="42" t="s">
        <v>1379</v>
      </c>
      <c r="U267" s="42"/>
      <c r="V267" s="44">
        <v>46191.0</v>
      </c>
      <c r="W267" s="41" t="s">
        <v>100</v>
      </c>
    </row>
    <row r="268" ht="15.75" customHeight="1">
      <c r="A268" s="37" t="s">
        <v>1665</v>
      </c>
      <c r="B268" s="37" t="s">
        <v>1348</v>
      </c>
      <c r="C268" s="37" t="s">
        <v>1666</v>
      </c>
      <c r="D268" s="37" t="s">
        <v>1399</v>
      </c>
      <c r="E268" s="37" t="s">
        <v>1351</v>
      </c>
      <c r="F268" s="37"/>
      <c r="G268" s="37" t="s">
        <v>1667</v>
      </c>
      <c r="H268" s="37" t="s">
        <v>1353</v>
      </c>
      <c r="I268" s="49" t="s">
        <v>221</v>
      </c>
      <c r="J268" s="37" t="s">
        <v>1366</v>
      </c>
      <c r="K268" s="37" t="s">
        <v>737</v>
      </c>
      <c r="L268" s="37" t="s">
        <v>153</v>
      </c>
      <c r="M268" s="37"/>
      <c r="N268" s="43" t="s">
        <v>1355</v>
      </c>
      <c r="O268" s="50" t="s">
        <v>1356</v>
      </c>
      <c r="P268" s="37" t="s">
        <v>1367</v>
      </c>
      <c r="Q268" s="37" t="s">
        <v>1668</v>
      </c>
      <c r="R268" s="37" t="s">
        <v>1669</v>
      </c>
      <c r="S268" s="37" t="s">
        <v>1670</v>
      </c>
      <c r="T268" s="37" t="s">
        <v>1361</v>
      </c>
      <c r="U268" s="37"/>
      <c r="V268" s="40">
        <v>46191.0</v>
      </c>
      <c r="W268" s="41" t="s">
        <v>100</v>
      </c>
    </row>
    <row r="269" ht="15.75" customHeight="1">
      <c r="A269" s="42" t="s">
        <v>1671</v>
      </c>
      <c r="B269" s="42" t="s">
        <v>1348</v>
      </c>
      <c r="C269" s="42" t="s">
        <v>1672</v>
      </c>
      <c r="D269" s="42" t="s">
        <v>1391</v>
      </c>
      <c r="E269" s="42" t="s">
        <v>1351</v>
      </c>
      <c r="F269" s="42"/>
      <c r="G269" s="42" t="s">
        <v>1673</v>
      </c>
      <c r="H269" s="42" t="s">
        <v>1393</v>
      </c>
      <c r="I269" s="48" t="s">
        <v>198</v>
      </c>
      <c r="J269" s="42" t="s">
        <v>1591</v>
      </c>
      <c r="K269" s="42" t="s">
        <v>737</v>
      </c>
      <c r="L269" s="42" t="s">
        <v>153</v>
      </c>
      <c r="M269" s="42"/>
      <c r="N269" s="46" t="s">
        <v>1502</v>
      </c>
      <c r="O269" s="42" t="s">
        <v>86</v>
      </c>
      <c r="P269" s="42"/>
      <c r="Q269" s="42" t="s">
        <v>1674</v>
      </c>
      <c r="R269" s="42" t="s">
        <v>1675</v>
      </c>
      <c r="S269" s="42" t="s">
        <v>1676</v>
      </c>
      <c r="T269" s="42" t="s">
        <v>1595</v>
      </c>
      <c r="U269" s="42"/>
      <c r="V269" s="44">
        <v>46191.0</v>
      </c>
      <c r="W269" s="41" t="s">
        <v>100</v>
      </c>
    </row>
    <row r="270" ht="15.75" customHeight="1">
      <c r="A270" s="37" t="s">
        <v>1677</v>
      </c>
      <c r="B270" s="37" t="s">
        <v>1348</v>
      </c>
      <c r="C270" s="37" t="s">
        <v>1678</v>
      </c>
      <c r="D270" s="37" t="s">
        <v>1391</v>
      </c>
      <c r="E270" s="37" t="s">
        <v>1351</v>
      </c>
      <c r="F270" s="37"/>
      <c r="G270" s="37" t="s">
        <v>1679</v>
      </c>
      <c r="H270" s="37" t="s">
        <v>1384</v>
      </c>
      <c r="I270" s="38" t="s">
        <v>80</v>
      </c>
      <c r="J270" s="37" t="s">
        <v>1354</v>
      </c>
      <c r="K270" s="37" t="s">
        <v>83</v>
      </c>
      <c r="L270" s="37" t="s">
        <v>83</v>
      </c>
      <c r="M270" s="37"/>
      <c r="N270" s="47" t="s">
        <v>1465</v>
      </c>
      <c r="O270" s="52" t="s">
        <v>1466</v>
      </c>
      <c r="P270" s="37" t="s">
        <v>1680</v>
      </c>
      <c r="Q270" s="37" t="s">
        <v>1681</v>
      </c>
      <c r="R270" s="37" t="s">
        <v>1682</v>
      </c>
      <c r="S270" s="37" t="s">
        <v>1683</v>
      </c>
      <c r="T270" s="37" t="s">
        <v>1471</v>
      </c>
      <c r="U270" s="37"/>
      <c r="V270" s="40">
        <v>46191.0</v>
      </c>
      <c r="W270" s="41" t="s">
        <v>91</v>
      </c>
    </row>
    <row r="271" ht="15.75" customHeight="1">
      <c r="A271" s="42" t="s">
        <v>1684</v>
      </c>
      <c r="B271" s="42" t="s">
        <v>1348</v>
      </c>
      <c r="C271" s="42" t="s">
        <v>1685</v>
      </c>
      <c r="D271" s="42" t="s">
        <v>1364</v>
      </c>
      <c r="E271" s="42" t="s">
        <v>1351</v>
      </c>
      <c r="F271" s="42"/>
      <c r="G271" s="42" t="s">
        <v>1686</v>
      </c>
      <c r="H271" s="42" t="s">
        <v>1384</v>
      </c>
      <c r="I271" s="38" t="s">
        <v>80</v>
      </c>
      <c r="J271" s="42" t="s">
        <v>1354</v>
      </c>
      <c r="K271" s="42" t="s">
        <v>83</v>
      </c>
      <c r="L271" s="42" t="s">
        <v>83</v>
      </c>
      <c r="M271" s="42"/>
      <c r="N271" s="47" t="s">
        <v>1465</v>
      </c>
      <c r="O271" s="52" t="s">
        <v>1466</v>
      </c>
      <c r="P271" s="42" t="s">
        <v>1680</v>
      </c>
      <c r="Q271" s="42" t="s">
        <v>1687</v>
      </c>
      <c r="R271" s="42" t="s">
        <v>1688</v>
      </c>
      <c r="S271" s="42" t="s">
        <v>1689</v>
      </c>
      <c r="T271" s="42" t="s">
        <v>1471</v>
      </c>
      <c r="U271" s="42"/>
      <c r="V271" s="44">
        <v>46191.0</v>
      </c>
      <c r="W271" s="41" t="s">
        <v>91</v>
      </c>
    </row>
    <row r="272" ht="15.75" customHeight="1">
      <c r="A272" s="37" t="s">
        <v>1690</v>
      </c>
      <c r="B272" s="37" t="s">
        <v>1348</v>
      </c>
      <c r="C272" s="37" t="s">
        <v>1691</v>
      </c>
      <c r="D272" s="37" t="s">
        <v>1373</v>
      </c>
      <c r="E272" s="37" t="s">
        <v>1351</v>
      </c>
      <c r="F272" s="37"/>
      <c r="G272" s="37" t="s">
        <v>1692</v>
      </c>
      <c r="H272" s="37" t="s">
        <v>1375</v>
      </c>
      <c r="I272" s="45" t="s">
        <v>104</v>
      </c>
      <c r="J272" s="37" t="s">
        <v>1410</v>
      </c>
      <c r="K272" s="37" t="s">
        <v>83</v>
      </c>
      <c r="L272" s="37" t="s">
        <v>83</v>
      </c>
      <c r="M272" s="37"/>
      <c r="N272" s="46" t="s">
        <v>118</v>
      </c>
      <c r="O272" s="37" t="s">
        <v>86</v>
      </c>
      <c r="P272" s="37"/>
      <c r="Q272" s="37" t="s">
        <v>1693</v>
      </c>
      <c r="R272" s="37" t="s">
        <v>1694</v>
      </c>
      <c r="S272" s="37" t="s">
        <v>1695</v>
      </c>
      <c r="T272" s="37" t="s">
        <v>1414</v>
      </c>
      <c r="U272" s="37"/>
      <c r="V272" s="40">
        <v>46191.0</v>
      </c>
      <c r="W272" s="41" t="s">
        <v>100</v>
      </c>
    </row>
    <row r="273" ht="15.75" customHeight="1">
      <c r="A273" s="42" t="s">
        <v>1696</v>
      </c>
      <c r="B273" s="42" t="s">
        <v>1348</v>
      </c>
      <c r="C273" s="42" t="s">
        <v>1697</v>
      </c>
      <c r="D273" s="42" t="s">
        <v>1373</v>
      </c>
      <c r="E273" s="42" t="s">
        <v>1351</v>
      </c>
      <c r="F273" s="42"/>
      <c r="G273" s="42" t="s">
        <v>1698</v>
      </c>
      <c r="H273" s="42" t="s">
        <v>1384</v>
      </c>
      <c r="I273" s="38" t="s">
        <v>80</v>
      </c>
      <c r="J273" s="42" t="s">
        <v>1410</v>
      </c>
      <c r="K273" s="42" t="s">
        <v>83</v>
      </c>
      <c r="L273" s="42" t="s">
        <v>83</v>
      </c>
      <c r="M273" s="42"/>
      <c r="N273" s="46" t="s">
        <v>118</v>
      </c>
      <c r="O273" s="42" t="s">
        <v>86</v>
      </c>
      <c r="P273" s="42"/>
      <c r="Q273" s="42" t="s">
        <v>1693</v>
      </c>
      <c r="R273" s="42" t="s">
        <v>1699</v>
      </c>
      <c r="S273" s="42" t="s">
        <v>1700</v>
      </c>
      <c r="T273" s="42" t="s">
        <v>1414</v>
      </c>
      <c r="U273" s="42"/>
      <c r="V273" s="44">
        <v>46191.0</v>
      </c>
      <c r="W273" s="41" t="s">
        <v>100</v>
      </c>
    </row>
    <row r="274" ht="15.75" customHeight="1">
      <c r="A274" s="37" t="s">
        <v>1701</v>
      </c>
      <c r="B274" s="37" t="s">
        <v>1348</v>
      </c>
      <c r="C274" s="37" t="s">
        <v>1702</v>
      </c>
      <c r="D274" s="37" t="s">
        <v>1399</v>
      </c>
      <c r="E274" s="37" t="s">
        <v>1351</v>
      </c>
      <c r="F274" s="37"/>
      <c r="G274" s="37" t="s">
        <v>1703</v>
      </c>
      <c r="H274" s="37" t="s">
        <v>1375</v>
      </c>
      <c r="I274" s="45" t="s">
        <v>104</v>
      </c>
      <c r="J274" s="37" t="s">
        <v>1366</v>
      </c>
      <c r="K274" s="37" t="s">
        <v>83</v>
      </c>
      <c r="L274" s="37" t="s">
        <v>83</v>
      </c>
      <c r="M274" s="37"/>
      <c r="N274" s="43" t="s">
        <v>1355</v>
      </c>
      <c r="O274" s="50" t="s">
        <v>1356</v>
      </c>
      <c r="P274" s="37" t="s">
        <v>1367</v>
      </c>
      <c r="Q274" s="37" t="s">
        <v>1704</v>
      </c>
      <c r="R274" s="37" t="s">
        <v>1705</v>
      </c>
      <c r="S274" s="37" t="s">
        <v>1706</v>
      </c>
      <c r="T274" s="37" t="s">
        <v>1361</v>
      </c>
      <c r="U274" s="37"/>
      <c r="V274" s="40">
        <v>46191.0</v>
      </c>
      <c r="W274" s="41" t="s">
        <v>100</v>
      </c>
    </row>
    <row r="275" ht="15.75" customHeight="1">
      <c r="A275" s="42" t="s">
        <v>1707</v>
      </c>
      <c r="B275" s="42" t="s">
        <v>1348</v>
      </c>
      <c r="C275" s="42" t="s">
        <v>1708</v>
      </c>
      <c r="D275" s="42" t="s">
        <v>1499</v>
      </c>
      <c r="E275" s="42" t="s">
        <v>1351</v>
      </c>
      <c r="F275" s="42"/>
      <c r="G275" s="42" t="s">
        <v>1709</v>
      </c>
      <c r="H275" s="42" t="s">
        <v>1384</v>
      </c>
      <c r="I275" s="38" t="s">
        <v>80</v>
      </c>
      <c r="J275" s="42" t="s">
        <v>1354</v>
      </c>
      <c r="K275" s="42" t="s">
        <v>83</v>
      </c>
      <c r="L275" s="42" t="s">
        <v>83</v>
      </c>
      <c r="M275" s="42"/>
      <c r="N275" s="47" t="s">
        <v>1465</v>
      </c>
      <c r="O275" s="52" t="s">
        <v>1466</v>
      </c>
      <c r="P275" s="42" t="s">
        <v>1643</v>
      </c>
      <c r="Q275" s="42" t="s">
        <v>1710</v>
      </c>
      <c r="R275" s="42" t="s">
        <v>1711</v>
      </c>
      <c r="S275" s="42" t="s">
        <v>1712</v>
      </c>
      <c r="T275" s="42" t="s">
        <v>1471</v>
      </c>
      <c r="U275" s="42"/>
      <c r="V275" s="44">
        <v>46191.0</v>
      </c>
      <c r="W275" s="41" t="s">
        <v>91</v>
      </c>
    </row>
    <row r="276" ht="15.75" customHeight="1">
      <c r="A276" s="37" t="s">
        <v>1713</v>
      </c>
      <c r="B276" s="37" t="s">
        <v>1348</v>
      </c>
      <c r="C276" s="37" t="s">
        <v>1714</v>
      </c>
      <c r="D276" s="37" t="s">
        <v>1499</v>
      </c>
      <c r="E276" s="37" t="s">
        <v>1351</v>
      </c>
      <c r="F276" s="37"/>
      <c r="G276" s="37" t="s">
        <v>1715</v>
      </c>
      <c r="H276" s="37" t="s">
        <v>1375</v>
      </c>
      <c r="I276" s="45" t="s">
        <v>104</v>
      </c>
      <c r="J276" s="37" t="s">
        <v>1410</v>
      </c>
      <c r="K276" s="37" t="s">
        <v>83</v>
      </c>
      <c r="L276" s="37" t="s">
        <v>83</v>
      </c>
      <c r="M276" s="37"/>
      <c r="N276" s="46" t="s">
        <v>118</v>
      </c>
      <c r="O276" s="37" t="s">
        <v>86</v>
      </c>
      <c r="P276" s="37"/>
      <c r="Q276" s="37" t="s">
        <v>1693</v>
      </c>
      <c r="R276" s="37" t="s">
        <v>1716</v>
      </c>
      <c r="S276" s="37" t="s">
        <v>1717</v>
      </c>
      <c r="T276" s="37" t="s">
        <v>1414</v>
      </c>
      <c r="U276" s="37"/>
      <c r="V276" s="40">
        <v>46191.0</v>
      </c>
      <c r="W276" s="41" t="s">
        <v>100</v>
      </c>
    </row>
    <row r="277" ht="15.75" customHeight="1">
      <c r="A277" s="42" t="s">
        <v>1718</v>
      </c>
      <c r="B277" s="42" t="s">
        <v>1348</v>
      </c>
      <c r="C277" s="42" t="s">
        <v>1719</v>
      </c>
      <c r="D277" s="42" t="s">
        <v>926</v>
      </c>
      <c r="E277" s="42" t="s">
        <v>1351</v>
      </c>
      <c r="F277" s="42"/>
      <c r="G277" s="42" t="s">
        <v>1720</v>
      </c>
      <c r="H277" s="42" t="s">
        <v>1375</v>
      </c>
      <c r="I277" s="45" t="s">
        <v>104</v>
      </c>
      <c r="J277" s="42" t="s">
        <v>1501</v>
      </c>
      <c r="K277" s="42" t="s">
        <v>83</v>
      </c>
      <c r="L277" s="42" t="s">
        <v>83</v>
      </c>
      <c r="M277" s="42"/>
      <c r="N277" s="46" t="s">
        <v>1502</v>
      </c>
      <c r="O277" s="42" t="s">
        <v>86</v>
      </c>
      <c r="P277" s="42"/>
      <c r="Q277" s="42" t="s">
        <v>1721</v>
      </c>
      <c r="R277" s="42" t="s">
        <v>1722</v>
      </c>
      <c r="S277" s="42" t="s">
        <v>1723</v>
      </c>
      <c r="T277" s="42" t="s">
        <v>1506</v>
      </c>
      <c r="U277" s="42"/>
      <c r="V277" s="44">
        <v>46191.0</v>
      </c>
      <c r="W277" s="41" t="s">
        <v>100</v>
      </c>
    </row>
    <row r="278" ht="15.75" customHeight="1">
      <c r="A278" s="37" t="s">
        <v>1724</v>
      </c>
      <c r="B278" s="37" t="s">
        <v>1348</v>
      </c>
      <c r="C278" s="37" t="s">
        <v>1725</v>
      </c>
      <c r="D278" s="37" t="s">
        <v>1399</v>
      </c>
      <c r="E278" s="37" t="s">
        <v>1351</v>
      </c>
      <c r="F278" s="37"/>
      <c r="G278" s="37" t="s">
        <v>1726</v>
      </c>
      <c r="H278" s="37" t="s">
        <v>1375</v>
      </c>
      <c r="I278" s="45" t="s">
        <v>104</v>
      </c>
      <c r="J278" s="37" t="s">
        <v>1354</v>
      </c>
      <c r="K278" s="37" t="s">
        <v>83</v>
      </c>
      <c r="L278" s="37" t="s">
        <v>83</v>
      </c>
      <c r="M278" s="37"/>
      <c r="N278" s="43" t="s">
        <v>1355</v>
      </c>
      <c r="O278" s="50" t="s">
        <v>1356</v>
      </c>
      <c r="P278" s="37" t="s">
        <v>1367</v>
      </c>
      <c r="Q278" s="37" t="s">
        <v>1727</v>
      </c>
      <c r="R278" s="37" t="s">
        <v>1728</v>
      </c>
      <c r="S278" s="37" t="s">
        <v>1729</v>
      </c>
      <c r="T278" s="37" t="s">
        <v>1361</v>
      </c>
      <c r="U278" s="37"/>
      <c r="V278" s="40">
        <v>46191.0</v>
      </c>
      <c r="W278" s="41" t="s">
        <v>100</v>
      </c>
    </row>
    <row r="279" ht="15.75" customHeight="1">
      <c r="A279" s="42" t="s">
        <v>1730</v>
      </c>
      <c r="B279" s="42" t="s">
        <v>1348</v>
      </c>
      <c r="C279" s="42" t="s">
        <v>1731</v>
      </c>
      <c r="D279" s="42" t="s">
        <v>926</v>
      </c>
      <c r="E279" s="42" t="s">
        <v>1351</v>
      </c>
      <c r="F279" s="42"/>
      <c r="G279" s="42" t="s">
        <v>1732</v>
      </c>
      <c r="H279" s="42" t="s">
        <v>1393</v>
      </c>
      <c r="I279" s="48" t="s">
        <v>198</v>
      </c>
      <c r="J279" s="42" t="s">
        <v>1591</v>
      </c>
      <c r="K279" s="42" t="s">
        <v>83</v>
      </c>
      <c r="L279" s="42" t="s">
        <v>83</v>
      </c>
      <c r="M279" s="42"/>
      <c r="N279" s="46" t="s">
        <v>1502</v>
      </c>
      <c r="O279" s="42" t="s">
        <v>86</v>
      </c>
      <c r="P279" s="42"/>
      <c r="Q279" s="42" t="s">
        <v>1733</v>
      </c>
      <c r="R279" s="42" t="s">
        <v>1734</v>
      </c>
      <c r="S279" s="42" t="s">
        <v>1735</v>
      </c>
      <c r="T279" s="42" t="s">
        <v>1595</v>
      </c>
      <c r="U279" s="42"/>
      <c r="V279" s="44">
        <v>46191.0</v>
      </c>
      <c r="W279" s="41" t="s">
        <v>100</v>
      </c>
    </row>
    <row r="280" ht="15.75" customHeight="1">
      <c r="A280" s="37" t="s">
        <v>1736</v>
      </c>
      <c r="B280" s="37" t="s">
        <v>1737</v>
      </c>
      <c r="C280" s="37" t="s">
        <v>1738</v>
      </c>
      <c r="D280" s="37" t="s">
        <v>1739</v>
      </c>
      <c r="E280" s="37" t="s">
        <v>1740</v>
      </c>
      <c r="F280" s="37"/>
      <c r="G280" s="37" t="s">
        <v>1741</v>
      </c>
      <c r="H280" s="37" t="s">
        <v>221</v>
      </c>
      <c r="I280" s="49" t="s">
        <v>221</v>
      </c>
      <c r="J280" s="37" t="s">
        <v>81</v>
      </c>
      <c r="K280" s="37" t="s">
        <v>83</v>
      </c>
      <c r="L280" s="37" t="s">
        <v>83</v>
      </c>
      <c r="M280" s="37"/>
      <c r="N280" s="39" t="s">
        <v>1742</v>
      </c>
      <c r="O280" s="37" t="s">
        <v>86</v>
      </c>
      <c r="P280" s="37"/>
      <c r="Q280" s="37"/>
      <c r="R280" s="37" t="s">
        <v>1743</v>
      </c>
      <c r="S280" s="37"/>
      <c r="T280" s="37" t="s">
        <v>1744</v>
      </c>
      <c r="U280" s="37"/>
      <c r="V280" s="40">
        <v>46191.0</v>
      </c>
      <c r="W280" s="41" t="s">
        <v>91</v>
      </c>
    </row>
    <row r="281" ht="15.75" customHeight="1">
      <c r="A281" s="42" t="s">
        <v>1745</v>
      </c>
      <c r="B281" s="42" t="s">
        <v>1737</v>
      </c>
      <c r="C281" s="42" t="s">
        <v>1746</v>
      </c>
      <c r="D281" s="42" t="s">
        <v>1739</v>
      </c>
      <c r="E281" s="42" t="s">
        <v>1747</v>
      </c>
      <c r="F281" s="42"/>
      <c r="G281" s="42" t="s">
        <v>1748</v>
      </c>
      <c r="H281" s="42" t="s">
        <v>221</v>
      </c>
      <c r="I281" s="49" t="s">
        <v>221</v>
      </c>
      <c r="J281" s="42" t="s">
        <v>81</v>
      </c>
      <c r="K281" s="42" t="s">
        <v>83</v>
      </c>
      <c r="L281" s="42" t="s">
        <v>83</v>
      </c>
      <c r="M281" s="42"/>
      <c r="N281" s="39" t="s">
        <v>1742</v>
      </c>
      <c r="O281" s="42" t="s">
        <v>86</v>
      </c>
      <c r="P281" s="42"/>
      <c r="Q281" s="42"/>
      <c r="R281" s="42" t="s">
        <v>1749</v>
      </c>
      <c r="S281" s="42"/>
      <c r="T281" s="42" t="s">
        <v>1744</v>
      </c>
      <c r="U281" s="42"/>
      <c r="V281" s="44">
        <v>46191.0</v>
      </c>
      <c r="W281" s="41" t="s">
        <v>91</v>
      </c>
    </row>
    <row r="282" ht="15.75" customHeight="1">
      <c r="A282" s="37" t="s">
        <v>1750</v>
      </c>
      <c r="B282" s="37" t="s">
        <v>1737</v>
      </c>
      <c r="C282" s="37" t="s">
        <v>1751</v>
      </c>
      <c r="D282" s="37" t="s">
        <v>1739</v>
      </c>
      <c r="E282" s="37" t="s">
        <v>1752</v>
      </c>
      <c r="F282" s="37"/>
      <c r="G282" s="37" t="s">
        <v>1753</v>
      </c>
      <c r="H282" s="37" t="s">
        <v>221</v>
      </c>
      <c r="I282" s="49" t="s">
        <v>221</v>
      </c>
      <c r="J282" s="37" t="s">
        <v>81</v>
      </c>
      <c r="K282" s="37" t="s">
        <v>83</v>
      </c>
      <c r="L282" s="37" t="s">
        <v>83</v>
      </c>
      <c r="M282" s="37"/>
      <c r="N282" s="39" t="s">
        <v>1742</v>
      </c>
      <c r="O282" s="37" t="s">
        <v>86</v>
      </c>
      <c r="P282" s="37"/>
      <c r="Q282" s="37"/>
      <c r="R282" s="37" t="s">
        <v>721</v>
      </c>
      <c r="S282" s="37"/>
      <c r="T282" s="37" t="s">
        <v>1744</v>
      </c>
      <c r="U282" s="37"/>
      <c r="V282" s="40">
        <v>46191.0</v>
      </c>
      <c r="W282" s="41" t="s">
        <v>91</v>
      </c>
    </row>
    <row r="283" ht="15.75" customHeight="1">
      <c r="A283" s="42" t="s">
        <v>1754</v>
      </c>
      <c r="B283" s="42" t="s">
        <v>1737</v>
      </c>
      <c r="C283" s="42" t="s">
        <v>1755</v>
      </c>
      <c r="D283" s="42" t="s">
        <v>1739</v>
      </c>
      <c r="E283" s="42" t="s">
        <v>1747</v>
      </c>
      <c r="F283" s="42"/>
      <c r="G283" s="42" t="s">
        <v>1756</v>
      </c>
      <c r="H283" s="42" t="s">
        <v>80</v>
      </c>
      <c r="I283" s="38" t="s">
        <v>80</v>
      </c>
      <c r="J283" s="42" t="s">
        <v>81</v>
      </c>
      <c r="K283" s="42" t="s">
        <v>83</v>
      </c>
      <c r="L283" s="42" t="s">
        <v>83</v>
      </c>
      <c r="M283" s="42"/>
      <c r="N283" s="39" t="s">
        <v>1742</v>
      </c>
      <c r="O283" s="42" t="s">
        <v>86</v>
      </c>
      <c r="P283" s="42"/>
      <c r="Q283" s="42"/>
      <c r="R283" s="42" t="s">
        <v>974</v>
      </c>
      <c r="S283" s="42"/>
      <c r="T283" s="42" t="s">
        <v>1744</v>
      </c>
      <c r="U283" s="42"/>
      <c r="V283" s="44">
        <v>46191.0</v>
      </c>
      <c r="W283" s="41" t="s">
        <v>91</v>
      </c>
    </row>
    <row r="284" ht="15.75" customHeight="1">
      <c r="A284" s="37" t="s">
        <v>1757</v>
      </c>
      <c r="B284" s="37" t="s">
        <v>1737</v>
      </c>
      <c r="C284" s="37" t="s">
        <v>1758</v>
      </c>
      <c r="D284" s="37" t="s">
        <v>1739</v>
      </c>
      <c r="E284" s="37" t="s">
        <v>735</v>
      </c>
      <c r="F284" s="37"/>
      <c r="G284" s="37" t="s">
        <v>1759</v>
      </c>
      <c r="H284" s="37" t="s">
        <v>80</v>
      </c>
      <c r="I284" s="38" t="s">
        <v>80</v>
      </c>
      <c r="J284" s="37" t="s">
        <v>81</v>
      </c>
      <c r="K284" s="37" t="s">
        <v>83</v>
      </c>
      <c r="L284" s="37" t="s">
        <v>83</v>
      </c>
      <c r="M284" s="37"/>
      <c r="N284" s="39" t="s">
        <v>1742</v>
      </c>
      <c r="O284" s="37" t="s">
        <v>86</v>
      </c>
      <c r="P284" s="37"/>
      <c r="Q284" s="37"/>
      <c r="R284" s="37" t="s">
        <v>1760</v>
      </c>
      <c r="S284" s="37"/>
      <c r="T284" s="37" t="s">
        <v>1744</v>
      </c>
      <c r="U284" s="37"/>
      <c r="V284" s="40">
        <v>46191.0</v>
      </c>
      <c r="W284" s="41" t="s">
        <v>91</v>
      </c>
    </row>
    <row r="285" ht="15.75" customHeight="1">
      <c r="A285" s="42" t="s">
        <v>1761</v>
      </c>
      <c r="B285" s="42" t="s">
        <v>1737</v>
      </c>
      <c r="C285" s="42" t="s">
        <v>1762</v>
      </c>
      <c r="D285" s="42" t="s">
        <v>1739</v>
      </c>
      <c r="E285" s="42" t="s">
        <v>735</v>
      </c>
      <c r="F285" s="42"/>
      <c r="G285" s="42" t="s">
        <v>1763</v>
      </c>
      <c r="H285" s="42" t="s">
        <v>221</v>
      </c>
      <c r="I285" s="49" t="s">
        <v>221</v>
      </c>
      <c r="J285" s="42" t="s">
        <v>81</v>
      </c>
      <c r="K285" s="42" t="s">
        <v>153</v>
      </c>
      <c r="L285" s="42" t="s">
        <v>153</v>
      </c>
      <c r="M285" s="42"/>
      <c r="N285" s="39" t="s">
        <v>1742</v>
      </c>
      <c r="O285" s="42" t="s">
        <v>86</v>
      </c>
      <c r="P285" s="42"/>
      <c r="Q285" s="42"/>
      <c r="R285" s="42" t="s">
        <v>1764</v>
      </c>
      <c r="S285" s="42"/>
      <c r="T285" s="42" t="s">
        <v>1744</v>
      </c>
      <c r="U285" s="42"/>
      <c r="V285" s="44">
        <v>46191.0</v>
      </c>
      <c r="W285" s="41" t="s">
        <v>91</v>
      </c>
    </row>
    <row r="286" ht="15.75" customHeight="1">
      <c r="N286" s="32"/>
      <c r="O286" s="32"/>
    </row>
    <row r="287" ht="15.75" customHeight="1">
      <c r="N287" s="32"/>
      <c r="O287" s="32"/>
    </row>
    <row r="288" ht="15.75" customHeight="1">
      <c r="N288" s="32"/>
      <c r="O288" s="32"/>
    </row>
    <row r="289" ht="15.75" customHeight="1">
      <c r="N289" s="32"/>
      <c r="O289" s="32"/>
    </row>
    <row r="290" ht="15.75" customHeight="1">
      <c r="N290" s="32"/>
      <c r="O290" s="32"/>
    </row>
    <row r="291" ht="15.75" customHeight="1">
      <c r="N291" s="32"/>
      <c r="O291" s="32"/>
    </row>
    <row r="292" ht="15.75" customHeight="1">
      <c r="N292" s="32"/>
      <c r="O292" s="32"/>
    </row>
    <row r="293" ht="15.75" customHeight="1">
      <c r="N293" s="32"/>
      <c r="O293" s="32"/>
    </row>
    <row r="294" ht="15.75" customHeight="1">
      <c r="N294" s="32"/>
      <c r="O294" s="32"/>
    </row>
    <row r="295" ht="15.75" customHeight="1">
      <c r="N295" s="32"/>
      <c r="O295" s="32"/>
    </row>
    <row r="296" ht="15.75" customHeight="1">
      <c r="N296" s="32"/>
      <c r="O296" s="32"/>
    </row>
    <row r="297" ht="15.75" customHeight="1">
      <c r="N297" s="32"/>
      <c r="O297" s="32"/>
    </row>
    <row r="298" ht="15.75" customHeight="1">
      <c r="N298" s="32"/>
      <c r="O298" s="32"/>
    </row>
    <row r="299" ht="15.75" customHeight="1">
      <c r="N299" s="32"/>
      <c r="O299" s="32"/>
    </row>
    <row r="300" ht="15.75" customHeight="1">
      <c r="N300" s="32"/>
      <c r="O300" s="32"/>
    </row>
    <row r="301" ht="15.75" customHeight="1">
      <c r="N301" s="32"/>
      <c r="O301" s="32"/>
    </row>
    <row r="302" ht="15.75" customHeight="1">
      <c r="N302" s="32"/>
      <c r="O302" s="32"/>
    </row>
    <row r="303" ht="15.75" customHeight="1">
      <c r="N303" s="32"/>
      <c r="O303" s="32"/>
    </row>
    <row r="304" ht="15.75" customHeight="1">
      <c r="N304" s="32"/>
      <c r="O304" s="32"/>
    </row>
    <row r="305" ht="15.75" customHeight="1">
      <c r="N305" s="32"/>
      <c r="O305" s="32"/>
    </row>
    <row r="306" ht="15.75" customHeight="1">
      <c r="N306" s="32"/>
      <c r="O306" s="32"/>
    </row>
    <row r="307" ht="15.75" customHeight="1">
      <c r="N307" s="32"/>
      <c r="O307" s="32"/>
    </row>
    <row r="308" ht="15.75" customHeight="1">
      <c r="N308" s="32"/>
      <c r="O308" s="32"/>
    </row>
    <row r="309" ht="15.75" customHeight="1">
      <c r="N309" s="32"/>
      <c r="O309" s="32"/>
    </row>
    <row r="310" ht="15.75" customHeight="1">
      <c r="N310" s="32"/>
      <c r="O310" s="32"/>
    </row>
    <row r="311" ht="15.75" customHeight="1">
      <c r="N311" s="32"/>
      <c r="O311" s="32"/>
    </row>
    <row r="312" ht="15.75" customHeight="1">
      <c r="N312" s="32"/>
      <c r="O312" s="32"/>
    </row>
    <row r="313" ht="15.75" customHeight="1">
      <c r="N313" s="32"/>
      <c r="O313" s="32"/>
    </row>
    <row r="314" ht="15.75" customHeight="1">
      <c r="N314" s="32"/>
      <c r="O314" s="32"/>
    </row>
    <row r="315" ht="15.75" customHeight="1">
      <c r="N315" s="32"/>
      <c r="O315" s="32"/>
    </row>
    <row r="316" ht="15.75" customHeight="1">
      <c r="N316" s="32"/>
      <c r="O316" s="32"/>
    </row>
    <row r="317" ht="15.75" customHeight="1">
      <c r="N317" s="32"/>
      <c r="O317" s="32"/>
    </row>
    <row r="318" ht="15.75" customHeight="1">
      <c r="N318" s="32"/>
      <c r="O318" s="32"/>
    </row>
    <row r="319" ht="15.75" customHeight="1">
      <c r="N319" s="32"/>
      <c r="O319" s="32"/>
    </row>
    <row r="320" ht="15.75" customHeight="1">
      <c r="N320" s="32"/>
      <c r="O320" s="32"/>
    </row>
    <row r="321" ht="15.75" customHeight="1">
      <c r="N321" s="32"/>
      <c r="O321" s="32"/>
    </row>
    <row r="322" ht="15.75" customHeight="1">
      <c r="N322" s="32"/>
      <c r="O322" s="32"/>
    </row>
    <row r="323" ht="15.75" customHeight="1">
      <c r="N323" s="32"/>
      <c r="O323" s="32"/>
    </row>
    <row r="324" ht="15.75" customHeight="1">
      <c r="N324" s="32"/>
      <c r="O324" s="32"/>
    </row>
    <row r="325" ht="15.75" customHeight="1">
      <c r="N325" s="32"/>
      <c r="O325" s="32"/>
    </row>
    <row r="326" ht="15.75" customHeight="1">
      <c r="N326" s="32"/>
      <c r="O326" s="32"/>
    </row>
    <row r="327" ht="15.75" customHeight="1">
      <c r="N327" s="32"/>
      <c r="O327" s="32"/>
    </row>
    <row r="328" ht="15.75" customHeight="1">
      <c r="N328" s="32"/>
      <c r="O328" s="32"/>
    </row>
    <row r="329" ht="15.75" customHeight="1">
      <c r="N329" s="32"/>
      <c r="O329" s="32"/>
    </row>
    <row r="330" ht="15.75" customHeight="1">
      <c r="N330" s="32"/>
      <c r="O330" s="32"/>
    </row>
    <row r="331" ht="15.75" customHeight="1">
      <c r="N331" s="32"/>
      <c r="O331" s="32"/>
    </row>
    <row r="332" ht="15.75" customHeight="1">
      <c r="N332" s="32"/>
      <c r="O332" s="32"/>
    </row>
    <row r="333" ht="15.75" customHeight="1">
      <c r="N333" s="32"/>
      <c r="O333" s="32"/>
    </row>
    <row r="334" ht="15.75" customHeight="1">
      <c r="N334" s="32"/>
      <c r="O334" s="32"/>
    </row>
    <row r="335" ht="15.75" customHeight="1">
      <c r="N335" s="32"/>
      <c r="O335" s="32"/>
    </row>
    <row r="336" ht="15.75" customHeight="1">
      <c r="N336" s="32"/>
      <c r="O336" s="32"/>
    </row>
    <row r="337" ht="15.75" customHeight="1">
      <c r="N337" s="32"/>
      <c r="O337" s="32"/>
    </row>
    <row r="338" ht="15.75" customHeight="1">
      <c r="N338" s="32"/>
      <c r="O338" s="32"/>
    </row>
    <row r="339" ht="15.75" customHeight="1">
      <c r="N339" s="32"/>
      <c r="O339" s="32"/>
    </row>
    <row r="340" ht="15.75" customHeight="1">
      <c r="N340" s="32"/>
      <c r="O340" s="32"/>
    </row>
    <row r="341" ht="15.75" customHeight="1">
      <c r="N341" s="32"/>
      <c r="O341" s="32"/>
    </row>
    <row r="342" ht="15.75" customHeight="1">
      <c r="N342" s="32"/>
      <c r="O342" s="32"/>
    </row>
    <row r="343" ht="15.75" customHeight="1">
      <c r="N343" s="32"/>
      <c r="O343" s="32"/>
    </row>
    <row r="344" ht="15.75" customHeight="1">
      <c r="N344" s="32"/>
      <c r="O344" s="32"/>
    </row>
    <row r="345" ht="15.75" customHeight="1">
      <c r="N345" s="32"/>
      <c r="O345" s="32"/>
    </row>
    <row r="346" ht="15.75" customHeight="1">
      <c r="N346" s="32"/>
      <c r="O346" s="32"/>
    </row>
    <row r="347" ht="15.75" customHeight="1">
      <c r="N347" s="32"/>
      <c r="O347" s="32"/>
    </row>
    <row r="348" ht="15.75" customHeight="1">
      <c r="N348" s="32"/>
      <c r="O348" s="32"/>
    </row>
    <row r="349" ht="15.75" customHeight="1">
      <c r="N349" s="32"/>
      <c r="O349" s="32"/>
    </row>
    <row r="350" ht="15.75" customHeight="1">
      <c r="N350" s="32"/>
      <c r="O350" s="32"/>
    </row>
    <row r="351" ht="15.75" customHeight="1">
      <c r="N351" s="32"/>
      <c r="O351" s="32"/>
    </row>
    <row r="352" ht="15.75" customHeight="1">
      <c r="N352" s="32"/>
      <c r="O352" s="32"/>
    </row>
    <row r="353" ht="15.75" customHeight="1">
      <c r="N353" s="32"/>
      <c r="O353" s="32"/>
    </row>
    <row r="354" ht="15.75" customHeight="1">
      <c r="N354" s="32"/>
      <c r="O354" s="32"/>
    </row>
    <row r="355" ht="15.75" customHeight="1">
      <c r="N355" s="32"/>
      <c r="O355" s="32"/>
    </row>
    <row r="356" ht="15.75" customHeight="1">
      <c r="N356" s="32"/>
      <c r="O356" s="32"/>
    </row>
    <row r="357" ht="15.75" customHeight="1">
      <c r="N357" s="32"/>
      <c r="O357" s="32"/>
    </row>
    <row r="358" ht="15.75" customHeight="1">
      <c r="N358" s="32"/>
      <c r="O358" s="32"/>
    </row>
    <row r="359" ht="15.75" customHeight="1">
      <c r="N359" s="32"/>
      <c r="O359" s="32"/>
    </row>
    <row r="360" ht="15.75" customHeight="1">
      <c r="N360" s="32"/>
      <c r="O360" s="32"/>
    </row>
    <row r="361" ht="15.75" customHeight="1">
      <c r="N361" s="32"/>
      <c r="O361" s="32"/>
    </row>
    <row r="362" ht="15.75" customHeight="1">
      <c r="N362" s="32"/>
      <c r="O362" s="32"/>
    </row>
    <row r="363" ht="15.75" customHeight="1">
      <c r="N363" s="32"/>
      <c r="O363" s="32"/>
    </row>
    <row r="364" ht="15.75" customHeight="1">
      <c r="N364" s="32"/>
      <c r="O364" s="32"/>
    </row>
    <row r="365" ht="15.75" customHeight="1">
      <c r="N365" s="32"/>
      <c r="O365" s="32"/>
    </row>
    <row r="366" ht="15.75" customHeight="1">
      <c r="N366" s="32"/>
      <c r="O366" s="32"/>
    </row>
    <row r="367" ht="15.75" customHeight="1">
      <c r="N367" s="32"/>
      <c r="O367" s="32"/>
    </row>
    <row r="368" ht="15.75" customHeight="1">
      <c r="N368" s="32"/>
      <c r="O368" s="32"/>
    </row>
    <row r="369" ht="15.75" customHeight="1">
      <c r="N369" s="32"/>
      <c r="O369" s="32"/>
    </row>
    <row r="370" ht="15.75" customHeight="1">
      <c r="N370" s="32"/>
      <c r="O370" s="32"/>
    </row>
    <row r="371" ht="15.75" customHeight="1">
      <c r="N371" s="32"/>
      <c r="O371" s="32"/>
    </row>
    <row r="372" ht="15.75" customHeight="1">
      <c r="N372" s="32"/>
      <c r="O372" s="32"/>
    </row>
    <row r="373" ht="15.75" customHeight="1">
      <c r="N373" s="32"/>
      <c r="O373" s="32"/>
    </row>
    <row r="374" ht="15.75" customHeight="1">
      <c r="N374" s="32"/>
      <c r="O374" s="32"/>
    </row>
    <row r="375" ht="15.75" customHeight="1">
      <c r="N375" s="32"/>
      <c r="O375" s="32"/>
    </row>
    <row r="376" ht="15.75" customHeight="1">
      <c r="N376" s="32"/>
      <c r="O376" s="32"/>
    </row>
    <row r="377" ht="15.75" customHeight="1">
      <c r="N377" s="32"/>
      <c r="O377" s="32"/>
    </row>
    <row r="378" ht="15.75" customHeight="1">
      <c r="N378" s="32"/>
      <c r="O378" s="32"/>
    </row>
    <row r="379" ht="15.75" customHeight="1">
      <c r="N379" s="32"/>
      <c r="O379" s="32"/>
    </row>
    <row r="380" ht="15.75" customHeight="1">
      <c r="N380" s="32"/>
      <c r="O380" s="32"/>
    </row>
    <row r="381" ht="15.75" customHeight="1">
      <c r="N381" s="32"/>
      <c r="O381" s="32"/>
    </row>
    <row r="382" ht="15.75" customHeight="1">
      <c r="N382" s="32"/>
      <c r="O382" s="32"/>
    </row>
    <row r="383" ht="15.75" customHeight="1">
      <c r="N383" s="32"/>
      <c r="O383" s="32"/>
    </row>
    <row r="384" ht="15.75" customHeight="1">
      <c r="N384" s="32"/>
      <c r="O384" s="32"/>
    </row>
    <row r="385" ht="15.75" customHeight="1">
      <c r="N385" s="32"/>
      <c r="O385" s="32"/>
    </row>
    <row r="386" ht="15.75" customHeight="1">
      <c r="N386" s="32"/>
      <c r="O386" s="32"/>
    </row>
    <row r="387" ht="15.75" customHeight="1">
      <c r="N387" s="32"/>
      <c r="O387" s="32"/>
    </row>
    <row r="388" ht="15.75" customHeight="1">
      <c r="N388" s="32"/>
      <c r="O388" s="32"/>
    </row>
    <row r="389" ht="15.75" customHeight="1">
      <c r="N389" s="32"/>
      <c r="O389" s="32"/>
    </row>
    <row r="390" ht="15.75" customHeight="1">
      <c r="N390" s="32"/>
      <c r="O390" s="32"/>
    </row>
    <row r="391" ht="15.75" customHeight="1">
      <c r="N391" s="32"/>
      <c r="O391" s="32"/>
    </row>
    <row r="392" ht="15.75" customHeight="1">
      <c r="N392" s="32"/>
      <c r="O392" s="32"/>
    </row>
    <row r="393" ht="15.75" customHeight="1">
      <c r="N393" s="32"/>
      <c r="O393" s="32"/>
    </row>
    <row r="394" ht="15.75" customHeight="1">
      <c r="N394" s="32"/>
      <c r="O394" s="32"/>
    </row>
    <row r="395" ht="15.75" customHeight="1">
      <c r="N395" s="32"/>
      <c r="O395" s="32"/>
    </row>
    <row r="396" ht="15.75" customHeight="1">
      <c r="N396" s="32"/>
      <c r="O396" s="32"/>
    </row>
    <row r="397" ht="15.75" customHeight="1">
      <c r="N397" s="32"/>
      <c r="O397" s="32"/>
    </row>
    <row r="398" ht="15.75" customHeight="1">
      <c r="N398" s="32"/>
      <c r="O398" s="32"/>
    </row>
    <row r="399" ht="15.75" customHeight="1">
      <c r="N399" s="32"/>
      <c r="O399" s="32"/>
    </row>
    <row r="400" ht="15.75" customHeight="1">
      <c r="N400" s="32"/>
      <c r="O400" s="32"/>
    </row>
    <row r="401" ht="15.75" customHeight="1">
      <c r="N401" s="32"/>
      <c r="O401" s="32"/>
    </row>
    <row r="402" ht="15.75" customHeight="1">
      <c r="N402" s="32"/>
      <c r="O402" s="32"/>
    </row>
    <row r="403" ht="15.75" customHeight="1">
      <c r="N403" s="32"/>
      <c r="O403" s="32"/>
    </row>
    <row r="404" ht="15.75" customHeight="1">
      <c r="N404" s="32"/>
      <c r="O404" s="32"/>
    </row>
    <row r="405" ht="15.75" customHeight="1">
      <c r="N405" s="32"/>
      <c r="O405" s="32"/>
    </row>
    <row r="406" ht="15.75" customHeight="1">
      <c r="N406" s="32"/>
      <c r="O406" s="32"/>
    </row>
    <row r="407" ht="15.75" customHeight="1">
      <c r="N407" s="32"/>
      <c r="O407" s="32"/>
    </row>
    <row r="408" ht="15.75" customHeight="1">
      <c r="N408" s="32"/>
      <c r="O408" s="32"/>
    </row>
    <row r="409" ht="15.75" customHeight="1">
      <c r="N409" s="32"/>
      <c r="O409" s="32"/>
    </row>
    <row r="410" ht="15.75" customHeight="1">
      <c r="N410" s="32"/>
      <c r="O410" s="32"/>
    </row>
    <row r="411" ht="15.75" customHeight="1">
      <c r="N411" s="32"/>
      <c r="O411" s="32"/>
    </row>
    <row r="412" ht="15.75" customHeight="1">
      <c r="N412" s="32"/>
      <c r="O412" s="32"/>
    </row>
    <row r="413" ht="15.75" customHeight="1">
      <c r="N413" s="32"/>
      <c r="O413" s="32"/>
    </row>
    <row r="414" ht="15.75" customHeight="1">
      <c r="N414" s="32"/>
      <c r="O414" s="32"/>
    </row>
    <row r="415" ht="15.75" customHeight="1">
      <c r="N415" s="32"/>
      <c r="O415" s="32"/>
    </row>
    <row r="416" ht="15.75" customHeight="1">
      <c r="N416" s="32"/>
      <c r="O416" s="32"/>
    </row>
    <row r="417" ht="15.75" customHeight="1">
      <c r="N417" s="32"/>
      <c r="O417" s="32"/>
    </row>
    <row r="418" ht="15.75" customHeight="1">
      <c r="N418" s="32"/>
      <c r="O418" s="32"/>
    </row>
    <row r="419" ht="15.75" customHeight="1">
      <c r="N419" s="32"/>
      <c r="O419" s="32"/>
    </row>
    <row r="420" ht="15.75" customHeight="1">
      <c r="N420" s="32"/>
      <c r="O420" s="32"/>
    </row>
    <row r="421" ht="15.75" customHeight="1">
      <c r="N421" s="32"/>
      <c r="O421" s="32"/>
    </row>
    <row r="422" ht="15.75" customHeight="1">
      <c r="N422" s="32"/>
      <c r="O422" s="32"/>
    </row>
    <row r="423" ht="15.75" customHeight="1">
      <c r="N423" s="32"/>
      <c r="O423" s="32"/>
    </row>
    <row r="424" ht="15.75" customHeight="1">
      <c r="N424" s="32"/>
      <c r="O424" s="32"/>
    </row>
    <row r="425" ht="15.75" customHeight="1">
      <c r="N425" s="32"/>
      <c r="O425" s="32"/>
    </row>
    <row r="426" ht="15.75" customHeight="1">
      <c r="N426" s="32"/>
      <c r="O426" s="32"/>
    </row>
    <row r="427" ht="15.75" customHeight="1">
      <c r="N427" s="32"/>
      <c r="O427" s="32"/>
    </row>
    <row r="428" ht="15.75" customHeight="1">
      <c r="N428" s="32"/>
      <c r="O428" s="32"/>
    </row>
    <row r="429" ht="15.75" customHeight="1">
      <c r="N429" s="32"/>
      <c r="O429" s="32"/>
    </row>
    <row r="430" ht="15.75" customHeight="1">
      <c r="N430" s="32"/>
      <c r="O430" s="32"/>
    </row>
    <row r="431" ht="15.75" customHeight="1">
      <c r="N431" s="32"/>
      <c r="O431" s="32"/>
    </row>
    <row r="432" ht="15.75" customHeight="1">
      <c r="N432" s="32"/>
      <c r="O432" s="32"/>
    </row>
    <row r="433" ht="15.75" customHeight="1">
      <c r="N433" s="32"/>
      <c r="O433" s="32"/>
    </row>
    <row r="434" ht="15.75" customHeight="1">
      <c r="N434" s="32"/>
      <c r="O434" s="32"/>
    </row>
    <row r="435" ht="15.75" customHeight="1">
      <c r="N435" s="32"/>
      <c r="O435" s="32"/>
    </row>
    <row r="436" ht="15.75" customHeight="1">
      <c r="N436" s="32"/>
      <c r="O436" s="32"/>
    </row>
    <row r="437" ht="15.75" customHeight="1">
      <c r="N437" s="32"/>
      <c r="O437" s="32"/>
    </row>
    <row r="438" ht="15.75" customHeight="1">
      <c r="N438" s="32"/>
      <c r="O438" s="32"/>
    </row>
    <row r="439" ht="15.75" customHeight="1">
      <c r="N439" s="32"/>
      <c r="O439" s="32"/>
    </row>
    <row r="440" ht="15.75" customHeight="1">
      <c r="N440" s="32"/>
      <c r="O440" s="32"/>
    </row>
    <row r="441" ht="15.75" customHeight="1">
      <c r="N441" s="32"/>
      <c r="O441" s="32"/>
    </row>
    <row r="442" ht="15.75" customHeight="1">
      <c r="N442" s="32"/>
      <c r="O442" s="32"/>
    </row>
    <row r="443" ht="15.75" customHeight="1">
      <c r="N443" s="32"/>
      <c r="O443" s="32"/>
    </row>
    <row r="444" ht="15.75" customHeight="1">
      <c r="N444" s="32"/>
      <c r="O444" s="32"/>
    </row>
    <row r="445" ht="15.75" customHeight="1">
      <c r="N445" s="32"/>
      <c r="O445" s="32"/>
    </row>
    <row r="446" ht="15.75" customHeight="1">
      <c r="N446" s="32"/>
      <c r="O446" s="32"/>
    </row>
    <row r="447" ht="15.75" customHeight="1">
      <c r="N447" s="32"/>
      <c r="O447" s="32"/>
    </row>
    <row r="448" ht="15.75" customHeight="1">
      <c r="N448" s="32"/>
      <c r="O448" s="32"/>
    </row>
    <row r="449" ht="15.75" customHeight="1">
      <c r="N449" s="32"/>
      <c r="O449" s="32"/>
    </row>
    <row r="450" ht="15.75" customHeight="1">
      <c r="N450" s="32"/>
      <c r="O450" s="32"/>
    </row>
    <row r="451" ht="15.75" customHeight="1">
      <c r="N451" s="32"/>
      <c r="O451" s="32"/>
    </row>
    <row r="452" ht="15.75" customHeight="1">
      <c r="N452" s="32"/>
      <c r="O452" s="32"/>
    </row>
    <row r="453" ht="15.75" customHeight="1">
      <c r="N453" s="32"/>
      <c r="O453" s="32"/>
    </row>
    <row r="454" ht="15.75" customHeight="1">
      <c r="N454" s="32"/>
      <c r="O454" s="32"/>
    </row>
    <row r="455" ht="15.75" customHeight="1">
      <c r="N455" s="32"/>
      <c r="O455" s="32"/>
    </row>
    <row r="456" ht="15.75" customHeight="1">
      <c r="N456" s="32"/>
      <c r="O456" s="32"/>
    </row>
    <row r="457" ht="15.75" customHeight="1">
      <c r="N457" s="32"/>
      <c r="O457" s="32"/>
    </row>
    <row r="458" ht="15.75" customHeight="1">
      <c r="N458" s="32"/>
      <c r="O458" s="32"/>
    </row>
    <row r="459" ht="15.75" customHeight="1">
      <c r="N459" s="32"/>
      <c r="O459" s="32"/>
    </row>
    <row r="460" ht="15.75" customHeight="1">
      <c r="N460" s="32"/>
      <c r="O460" s="32"/>
    </row>
    <row r="461" ht="15.75" customHeight="1">
      <c r="N461" s="32"/>
      <c r="O461" s="32"/>
    </row>
    <row r="462" ht="15.75" customHeight="1">
      <c r="N462" s="32"/>
      <c r="O462" s="32"/>
    </row>
    <row r="463" ht="15.75" customHeight="1">
      <c r="N463" s="32"/>
      <c r="O463" s="32"/>
    </row>
    <row r="464" ht="15.75" customHeight="1">
      <c r="N464" s="32"/>
      <c r="O464" s="32"/>
    </row>
    <row r="465" ht="15.75" customHeight="1">
      <c r="N465" s="32"/>
      <c r="O465" s="32"/>
    </row>
    <row r="466" ht="15.75" customHeight="1">
      <c r="N466" s="32"/>
      <c r="O466" s="32"/>
    </row>
    <row r="467" ht="15.75" customHeight="1">
      <c r="N467" s="32"/>
      <c r="O467" s="32"/>
    </row>
    <row r="468" ht="15.75" customHeight="1">
      <c r="N468" s="32"/>
      <c r="O468" s="32"/>
    </row>
    <row r="469" ht="15.75" customHeight="1">
      <c r="N469" s="32"/>
      <c r="O469" s="32"/>
    </row>
    <row r="470" ht="15.75" customHeight="1">
      <c r="N470" s="32"/>
      <c r="O470" s="32"/>
    </row>
    <row r="471" ht="15.75" customHeight="1">
      <c r="N471" s="32"/>
      <c r="O471" s="32"/>
    </row>
    <row r="472" ht="15.75" customHeight="1">
      <c r="N472" s="32"/>
      <c r="O472" s="32"/>
    </row>
    <row r="473" ht="15.75" customHeight="1">
      <c r="N473" s="32"/>
      <c r="O473" s="32"/>
    </row>
    <row r="474" ht="15.75" customHeight="1">
      <c r="N474" s="32"/>
      <c r="O474" s="32"/>
    </row>
    <row r="475" ht="15.75" customHeight="1">
      <c r="N475" s="32"/>
      <c r="O475" s="32"/>
    </row>
    <row r="476" ht="15.75" customHeight="1">
      <c r="N476" s="32"/>
      <c r="O476" s="32"/>
    </row>
    <row r="477" ht="15.75" customHeight="1">
      <c r="N477" s="32"/>
      <c r="O477" s="32"/>
    </row>
    <row r="478" ht="15.75" customHeight="1">
      <c r="N478" s="32"/>
      <c r="O478" s="32"/>
    </row>
    <row r="479" ht="15.75" customHeight="1">
      <c r="N479" s="32"/>
      <c r="O479" s="32"/>
    </row>
    <row r="480" ht="15.75" customHeight="1">
      <c r="N480" s="32"/>
      <c r="O480" s="32"/>
    </row>
    <row r="481" ht="15.75" customHeight="1">
      <c r="N481" s="32"/>
      <c r="O481" s="32"/>
    </row>
    <row r="482" ht="15.75" customHeight="1">
      <c r="N482" s="32"/>
      <c r="O482" s="32"/>
    </row>
    <row r="483" ht="15.75" customHeight="1">
      <c r="N483" s="32"/>
      <c r="O483" s="32"/>
    </row>
    <row r="484" ht="15.75" customHeight="1">
      <c r="N484" s="32"/>
      <c r="O484" s="32"/>
    </row>
    <row r="485" ht="15.75" customHeight="1">
      <c r="N485" s="32"/>
      <c r="O485" s="32"/>
    </row>
    <row r="486" ht="15.75" customHeight="1">
      <c r="N486" s="41"/>
      <c r="O486" s="41"/>
    </row>
    <row r="487" ht="15.75" customHeight="1">
      <c r="N487" s="41"/>
      <c r="O487" s="41"/>
    </row>
    <row r="488" ht="15.75" customHeight="1">
      <c r="N488" s="41"/>
      <c r="O488" s="41"/>
    </row>
    <row r="489" ht="15.75" customHeight="1">
      <c r="N489" s="41"/>
      <c r="O489" s="41"/>
    </row>
    <row r="490" ht="15.75" customHeight="1">
      <c r="N490" s="41"/>
      <c r="O490" s="41"/>
    </row>
    <row r="491" ht="15.75" customHeight="1">
      <c r="N491" s="41"/>
      <c r="O491" s="41"/>
    </row>
    <row r="492" ht="15.75" customHeight="1">
      <c r="N492" s="41"/>
      <c r="O492" s="41"/>
    </row>
    <row r="493" ht="15.75" customHeight="1">
      <c r="N493" s="41"/>
      <c r="O493" s="41"/>
    </row>
    <row r="494" ht="15.75" customHeight="1">
      <c r="N494" s="41"/>
      <c r="O494" s="41"/>
    </row>
    <row r="495" ht="15.75" customHeight="1">
      <c r="N495" s="41"/>
      <c r="O495" s="41"/>
    </row>
    <row r="496" ht="15.75" customHeight="1">
      <c r="N496" s="41"/>
      <c r="O496" s="41"/>
    </row>
    <row r="497" ht="15.75" customHeight="1">
      <c r="N497" s="41"/>
      <c r="O497" s="41"/>
    </row>
    <row r="498" ht="15.75" customHeight="1">
      <c r="N498" s="41"/>
      <c r="O498" s="41"/>
    </row>
    <row r="499" ht="15.75" customHeight="1">
      <c r="N499" s="41"/>
      <c r="O499" s="41"/>
    </row>
    <row r="500" ht="15.75" customHeight="1">
      <c r="N500" s="41"/>
      <c r="O500" s="41"/>
    </row>
    <row r="501" ht="15.75" customHeight="1">
      <c r="N501" s="41"/>
      <c r="O501" s="41"/>
    </row>
    <row r="502" ht="15.75" customHeight="1">
      <c r="N502" s="41"/>
      <c r="O502" s="41"/>
    </row>
    <row r="503" ht="15.75" customHeight="1">
      <c r="N503" s="41"/>
      <c r="O503" s="41"/>
    </row>
    <row r="504" ht="15.75" customHeight="1">
      <c r="N504" s="41"/>
      <c r="O504" s="41"/>
    </row>
    <row r="505" ht="15.75" customHeight="1">
      <c r="N505" s="41"/>
      <c r="O505" s="41"/>
    </row>
    <row r="506" ht="15.75" customHeight="1">
      <c r="N506" s="41"/>
      <c r="O506" s="41"/>
    </row>
    <row r="507" ht="15.75" customHeight="1">
      <c r="N507" s="41"/>
      <c r="O507" s="41"/>
    </row>
    <row r="508" ht="15.75" customHeight="1">
      <c r="N508" s="41"/>
      <c r="O508" s="41"/>
    </row>
    <row r="509" ht="15.75" customHeight="1">
      <c r="N509" s="41"/>
      <c r="O509" s="41"/>
    </row>
    <row r="510" ht="15.75" customHeight="1">
      <c r="N510" s="41"/>
      <c r="O510" s="41"/>
    </row>
    <row r="511" ht="15.75" customHeight="1">
      <c r="N511" s="41"/>
      <c r="O511" s="41"/>
    </row>
    <row r="512" ht="15.75" customHeight="1">
      <c r="N512" s="41"/>
      <c r="O512" s="41"/>
    </row>
    <row r="513" ht="15.75" customHeight="1">
      <c r="N513" s="41"/>
      <c r="O513" s="41"/>
    </row>
    <row r="514" ht="15.75" customHeight="1">
      <c r="N514" s="41"/>
      <c r="O514" s="41"/>
    </row>
    <row r="515" ht="15.75" customHeight="1">
      <c r="N515" s="41"/>
      <c r="O515" s="41"/>
    </row>
    <row r="516" ht="15.75" customHeight="1">
      <c r="N516" s="41"/>
      <c r="O516" s="41"/>
    </row>
    <row r="517" ht="15.75" customHeight="1">
      <c r="N517" s="41"/>
      <c r="O517" s="41"/>
    </row>
    <row r="518" ht="15.75" customHeight="1">
      <c r="N518" s="41"/>
      <c r="O518" s="41"/>
    </row>
    <row r="519" ht="15.75" customHeight="1">
      <c r="N519" s="41"/>
      <c r="O519" s="41"/>
    </row>
    <row r="520" ht="15.75" customHeight="1">
      <c r="N520" s="41"/>
      <c r="O520" s="41"/>
    </row>
    <row r="521" ht="15.75" customHeight="1">
      <c r="N521" s="41"/>
      <c r="O521" s="41"/>
    </row>
    <row r="522" ht="15.75" customHeight="1">
      <c r="N522" s="41"/>
      <c r="O522" s="41"/>
    </row>
    <row r="523" ht="15.75" customHeight="1">
      <c r="N523" s="41"/>
      <c r="O523" s="41"/>
    </row>
    <row r="524" ht="15.75" customHeight="1">
      <c r="N524" s="41"/>
      <c r="O524" s="41"/>
    </row>
    <row r="525" ht="15.75" customHeight="1">
      <c r="N525" s="41"/>
      <c r="O525" s="41"/>
    </row>
    <row r="526" ht="15.75" customHeight="1">
      <c r="N526" s="41"/>
      <c r="O526" s="41"/>
    </row>
    <row r="527" ht="15.75" customHeight="1">
      <c r="N527" s="41"/>
      <c r="O527" s="41"/>
    </row>
    <row r="528" ht="15.75" customHeight="1">
      <c r="N528" s="41"/>
      <c r="O528" s="41"/>
    </row>
    <row r="529" ht="15.75" customHeight="1">
      <c r="N529" s="41"/>
      <c r="O529" s="41"/>
    </row>
    <row r="530" ht="15.75" customHeight="1">
      <c r="N530" s="41"/>
      <c r="O530" s="41"/>
    </row>
    <row r="531" ht="15.75" customHeight="1">
      <c r="N531" s="41"/>
      <c r="O531" s="41"/>
    </row>
    <row r="532" ht="15.75" customHeight="1">
      <c r="N532" s="41"/>
      <c r="O532" s="41"/>
    </row>
    <row r="533" ht="15.75" customHeight="1">
      <c r="N533" s="41"/>
      <c r="O533" s="41"/>
    </row>
    <row r="534" ht="15.75" customHeight="1">
      <c r="N534" s="41"/>
      <c r="O534" s="41"/>
    </row>
    <row r="535" ht="15.75" customHeight="1">
      <c r="N535" s="41"/>
      <c r="O535" s="41"/>
    </row>
    <row r="536" ht="15.75" customHeight="1">
      <c r="N536" s="41"/>
      <c r="O536" s="41"/>
    </row>
    <row r="537" ht="15.75" customHeight="1">
      <c r="N537" s="41"/>
      <c r="O537" s="41"/>
    </row>
    <row r="538" ht="15.75" customHeight="1">
      <c r="N538" s="41"/>
      <c r="O538" s="41"/>
    </row>
    <row r="539" ht="15.75" customHeight="1">
      <c r="N539" s="41"/>
      <c r="O539" s="41"/>
    </row>
    <row r="540" ht="15.75" customHeight="1">
      <c r="N540" s="41"/>
      <c r="O540" s="41"/>
    </row>
    <row r="541" ht="15.75" customHeight="1">
      <c r="N541" s="41"/>
      <c r="O541" s="41"/>
    </row>
    <row r="542" ht="15.75" customHeight="1">
      <c r="N542" s="41"/>
      <c r="O542" s="41"/>
    </row>
    <row r="543" ht="15.75" customHeight="1">
      <c r="N543" s="41"/>
      <c r="O543" s="41"/>
    </row>
    <row r="544" ht="15.75" customHeight="1">
      <c r="N544" s="41"/>
      <c r="O544" s="41"/>
    </row>
    <row r="545" ht="15.75" customHeight="1">
      <c r="N545" s="41"/>
      <c r="O545" s="41"/>
    </row>
    <row r="546" ht="15.75" customHeight="1">
      <c r="N546" s="41"/>
      <c r="O546" s="41"/>
    </row>
    <row r="547" ht="15.75" customHeight="1">
      <c r="N547" s="41"/>
      <c r="O547" s="41"/>
    </row>
    <row r="548" ht="15.75" customHeight="1">
      <c r="N548" s="41"/>
      <c r="O548" s="41"/>
    </row>
    <row r="549" ht="15.75" customHeight="1">
      <c r="N549" s="41"/>
      <c r="O549" s="41"/>
    </row>
    <row r="550" ht="15.75" customHeight="1">
      <c r="N550" s="41"/>
      <c r="O550" s="41"/>
    </row>
    <row r="551" ht="15.75" customHeight="1">
      <c r="N551" s="41"/>
      <c r="O551" s="41"/>
    </row>
    <row r="552" ht="15.75" customHeight="1">
      <c r="N552" s="41"/>
      <c r="O552" s="41"/>
    </row>
    <row r="553" ht="15.75" customHeight="1">
      <c r="N553" s="41"/>
      <c r="O553" s="41"/>
    </row>
    <row r="554" ht="15.75" customHeight="1">
      <c r="N554" s="41"/>
      <c r="O554" s="41"/>
    </row>
    <row r="555" ht="15.75" customHeight="1">
      <c r="N555" s="41"/>
      <c r="O555" s="41"/>
    </row>
    <row r="556" ht="15.75" customHeight="1">
      <c r="N556" s="41"/>
      <c r="O556" s="41"/>
    </row>
    <row r="557" ht="15.75" customHeight="1">
      <c r="N557" s="41"/>
      <c r="O557" s="41"/>
    </row>
    <row r="558" ht="15.75" customHeight="1">
      <c r="N558" s="41"/>
      <c r="O558" s="41"/>
    </row>
    <row r="559" ht="15.75" customHeight="1">
      <c r="N559" s="41"/>
      <c r="O559" s="41"/>
    </row>
    <row r="560" ht="15.75" customHeight="1">
      <c r="N560" s="41"/>
      <c r="O560" s="41"/>
    </row>
    <row r="561" ht="15.75" customHeight="1">
      <c r="N561" s="41"/>
      <c r="O561" s="41"/>
    </row>
    <row r="562" ht="15.75" customHeight="1">
      <c r="N562" s="41"/>
      <c r="O562" s="41"/>
    </row>
    <row r="563" ht="15.75" customHeight="1">
      <c r="N563" s="41"/>
      <c r="O563" s="41"/>
    </row>
    <row r="564" ht="15.75" customHeight="1">
      <c r="N564" s="41"/>
      <c r="O564" s="41"/>
    </row>
    <row r="565" ht="15.75" customHeight="1">
      <c r="N565" s="41"/>
      <c r="O565" s="41"/>
    </row>
    <row r="566" ht="15.75" customHeight="1">
      <c r="N566" s="41"/>
      <c r="O566" s="41"/>
    </row>
    <row r="567" ht="15.75" customHeight="1">
      <c r="N567" s="41"/>
      <c r="O567" s="41"/>
    </row>
    <row r="568" ht="15.75" customHeight="1">
      <c r="N568" s="41"/>
      <c r="O568" s="41"/>
    </row>
    <row r="569" ht="15.75" customHeight="1">
      <c r="N569" s="41"/>
      <c r="O569" s="41"/>
    </row>
    <row r="570" ht="15.75" customHeight="1">
      <c r="N570" s="41"/>
      <c r="O570" s="41"/>
    </row>
    <row r="571" ht="15.75" customHeight="1">
      <c r="N571" s="41"/>
      <c r="O571" s="41"/>
    </row>
    <row r="572" ht="15.75" customHeight="1">
      <c r="N572" s="41"/>
      <c r="O572" s="41"/>
    </row>
    <row r="573" ht="15.75" customHeight="1">
      <c r="N573" s="41"/>
      <c r="O573" s="41"/>
    </row>
    <row r="574" ht="15.75" customHeight="1">
      <c r="N574" s="41"/>
      <c r="O574" s="41"/>
    </row>
    <row r="575" ht="15.75" customHeight="1">
      <c r="N575" s="41"/>
      <c r="O575" s="41"/>
    </row>
    <row r="576" ht="15.75" customHeight="1">
      <c r="N576" s="41"/>
      <c r="O576" s="41"/>
    </row>
    <row r="577" ht="15.75" customHeight="1">
      <c r="N577" s="41"/>
      <c r="O577" s="41"/>
    </row>
    <row r="578" ht="15.75" customHeight="1">
      <c r="N578" s="41"/>
      <c r="O578" s="41"/>
    </row>
    <row r="579" ht="15.75" customHeight="1">
      <c r="N579" s="41"/>
      <c r="O579" s="41"/>
    </row>
    <row r="580" ht="15.75" customHeight="1">
      <c r="N580" s="41"/>
      <c r="O580" s="41"/>
    </row>
    <row r="581" ht="15.75" customHeight="1">
      <c r="N581" s="41"/>
      <c r="O581" s="41"/>
    </row>
    <row r="582" ht="15.75" customHeight="1">
      <c r="N582" s="41"/>
      <c r="O582" s="41"/>
    </row>
    <row r="583" ht="15.75" customHeight="1">
      <c r="N583" s="41"/>
      <c r="O583" s="41"/>
    </row>
    <row r="584" ht="15.75" customHeight="1">
      <c r="N584" s="41"/>
      <c r="O584" s="41"/>
    </row>
    <row r="585" ht="15.75" customHeight="1">
      <c r="N585" s="41"/>
      <c r="O585" s="41"/>
    </row>
    <row r="586" ht="15.75" customHeight="1">
      <c r="N586" s="41"/>
      <c r="O586" s="41"/>
    </row>
    <row r="587" ht="15.75" customHeight="1">
      <c r="N587" s="41"/>
      <c r="O587" s="41"/>
    </row>
    <row r="588" ht="15.75" customHeight="1">
      <c r="N588" s="41"/>
      <c r="O588" s="41"/>
    </row>
    <row r="589" ht="15.75" customHeight="1">
      <c r="N589" s="41"/>
      <c r="O589" s="41"/>
    </row>
    <row r="590" ht="15.75" customHeight="1">
      <c r="N590" s="41"/>
      <c r="O590" s="41"/>
    </row>
    <row r="591" ht="15.75" customHeight="1">
      <c r="N591" s="41"/>
      <c r="O591" s="41"/>
    </row>
    <row r="592" ht="15.75" customHeight="1">
      <c r="N592" s="41"/>
      <c r="O592" s="41"/>
    </row>
    <row r="593" ht="15.75" customHeight="1">
      <c r="N593" s="41"/>
      <c r="O593" s="41"/>
    </row>
    <row r="594" ht="15.75" customHeight="1">
      <c r="N594" s="41"/>
      <c r="O594" s="41"/>
    </row>
    <row r="595" ht="15.75" customHeight="1">
      <c r="N595" s="41"/>
      <c r="O595" s="41"/>
    </row>
    <row r="596" ht="15.75" customHeight="1">
      <c r="N596" s="41"/>
      <c r="O596" s="41"/>
    </row>
    <row r="597" ht="15.75" customHeight="1">
      <c r="N597" s="41"/>
      <c r="O597" s="41"/>
    </row>
    <row r="598" ht="15.75" customHeight="1">
      <c r="N598" s="41"/>
      <c r="O598" s="41"/>
    </row>
    <row r="599" ht="15.75" customHeight="1">
      <c r="N599" s="41"/>
      <c r="O599" s="41"/>
    </row>
    <row r="600" ht="15.75" customHeight="1">
      <c r="N600" s="41"/>
      <c r="O600" s="41"/>
    </row>
    <row r="601" ht="15.75" customHeight="1">
      <c r="N601" s="41"/>
      <c r="O601" s="41"/>
    </row>
    <row r="602" ht="15.75" customHeight="1">
      <c r="N602" s="41"/>
      <c r="O602" s="41"/>
    </row>
    <row r="603" ht="15.75" customHeight="1">
      <c r="N603" s="41"/>
      <c r="O603" s="41"/>
    </row>
    <row r="604" ht="15.75" customHeight="1">
      <c r="N604" s="41"/>
      <c r="O604" s="41"/>
    </row>
    <row r="605" ht="15.75" customHeight="1">
      <c r="N605" s="41"/>
      <c r="O605" s="41"/>
    </row>
    <row r="606" ht="15.75" customHeight="1">
      <c r="N606" s="41"/>
      <c r="O606" s="41"/>
    </row>
    <row r="607" ht="15.75" customHeight="1">
      <c r="N607" s="41"/>
      <c r="O607" s="41"/>
    </row>
    <row r="608" ht="15.75" customHeight="1">
      <c r="N608" s="41"/>
      <c r="O608" s="41"/>
    </row>
    <row r="609" ht="15.75" customHeight="1">
      <c r="N609" s="41"/>
      <c r="O609" s="41"/>
    </row>
    <row r="610" ht="15.75" customHeight="1">
      <c r="N610" s="41"/>
      <c r="O610" s="41"/>
    </row>
    <row r="611" ht="15.75" customHeight="1">
      <c r="N611" s="41"/>
      <c r="O611" s="41"/>
    </row>
    <row r="612" ht="15.75" customHeight="1">
      <c r="N612" s="41"/>
      <c r="O612" s="41"/>
    </row>
    <row r="613" ht="15.75" customHeight="1">
      <c r="N613" s="41"/>
      <c r="O613" s="41"/>
    </row>
    <row r="614" ht="15.75" customHeight="1">
      <c r="N614" s="41"/>
      <c r="O614" s="41"/>
    </row>
    <row r="615" ht="15.75" customHeight="1">
      <c r="N615" s="41"/>
      <c r="O615" s="41"/>
    </row>
    <row r="616" ht="15.75" customHeight="1">
      <c r="N616" s="41"/>
      <c r="O616" s="41"/>
    </row>
    <row r="617" ht="15.75" customHeight="1">
      <c r="N617" s="41"/>
      <c r="O617" s="41"/>
    </row>
    <row r="618" ht="15.75" customHeight="1">
      <c r="N618" s="41"/>
      <c r="O618" s="41"/>
    </row>
    <row r="619" ht="15.75" customHeight="1">
      <c r="N619" s="41"/>
      <c r="O619" s="41"/>
    </row>
    <row r="620" ht="15.75" customHeight="1">
      <c r="N620" s="41"/>
      <c r="O620" s="41"/>
    </row>
    <row r="621" ht="15.75" customHeight="1">
      <c r="N621" s="41"/>
      <c r="O621" s="41"/>
    </row>
    <row r="622" ht="15.75" customHeight="1">
      <c r="N622" s="41"/>
      <c r="O622" s="41"/>
    </row>
    <row r="623" ht="15.75" customHeight="1">
      <c r="N623" s="41"/>
      <c r="O623" s="41"/>
    </row>
    <row r="624" ht="15.75" customHeight="1">
      <c r="N624" s="41"/>
      <c r="O624" s="41"/>
    </row>
    <row r="625" ht="15.75" customHeight="1">
      <c r="N625" s="41"/>
      <c r="O625" s="41"/>
    </row>
    <row r="626" ht="15.75" customHeight="1">
      <c r="N626" s="41"/>
      <c r="O626" s="41"/>
    </row>
    <row r="627" ht="15.75" customHeight="1">
      <c r="N627" s="41"/>
      <c r="O627" s="41"/>
    </row>
    <row r="628" ht="15.75" customHeight="1">
      <c r="N628" s="41"/>
      <c r="O628" s="41"/>
    </row>
    <row r="629" ht="15.75" customHeight="1">
      <c r="N629" s="41"/>
      <c r="O629" s="41"/>
    </row>
    <row r="630" ht="15.75" customHeight="1">
      <c r="N630" s="41"/>
      <c r="O630" s="41"/>
    </row>
    <row r="631" ht="15.75" customHeight="1">
      <c r="N631" s="41"/>
      <c r="O631" s="41"/>
    </row>
    <row r="632" ht="15.75" customHeight="1">
      <c r="N632" s="41"/>
      <c r="O632" s="41"/>
    </row>
    <row r="633" ht="15.75" customHeight="1">
      <c r="N633" s="41"/>
      <c r="O633" s="41"/>
    </row>
    <row r="634" ht="15.75" customHeight="1">
      <c r="N634" s="41"/>
      <c r="O634" s="41"/>
    </row>
    <row r="635" ht="15.75" customHeight="1">
      <c r="N635" s="41"/>
      <c r="O635" s="41"/>
    </row>
    <row r="636" ht="15.75" customHeight="1">
      <c r="N636" s="41"/>
      <c r="O636" s="41"/>
    </row>
    <row r="637" ht="15.75" customHeight="1">
      <c r="N637" s="41"/>
      <c r="O637" s="41"/>
    </row>
    <row r="638" ht="15.75" customHeight="1">
      <c r="N638" s="41"/>
      <c r="O638" s="41"/>
    </row>
    <row r="639" ht="15.75" customHeight="1">
      <c r="N639" s="41"/>
      <c r="O639" s="41"/>
    </row>
    <row r="640" ht="15.75" customHeight="1">
      <c r="N640" s="41"/>
      <c r="O640" s="41"/>
    </row>
    <row r="641" ht="15.75" customHeight="1">
      <c r="N641" s="41"/>
      <c r="O641" s="41"/>
    </row>
    <row r="642" ht="15.75" customHeight="1">
      <c r="N642" s="41"/>
      <c r="O642" s="41"/>
    </row>
    <row r="643" ht="15.75" customHeight="1">
      <c r="N643" s="41"/>
      <c r="O643" s="41"/>
    </row>
    <row r="644" ht="15.75" customHeight="1">
      <c r="N644" s="41"/>
      <c r="O644" s="41"/>
    </row>
    <row r="645" ht="15.75" customHeight="1">
      <c r="N645" s="41"/>
      <c r="O645" s="41"/>
    </row>
    <row r="646" ht="15.75" customHeight="1">
      <c r="N646" s="41"/>
      <c r="O646" s="41"/>
    </row>
    <row r="647" ht="15.75" customHeight="1">
      <c r="N647" s="41"/>
      <c r="O647" s="41"/>
    </row>
    <row r="648" ht="15.75" customHeight="1">
      <c r="N648" s="41"/>
      <c r="O648" s="41"/>
    </row>
    <row r="649" ht="15.75" customHeight="1">
      <c r="N649" s="41"/>
      <c r="O649" s="41"/>
    </row>
    <row r="650" ht="15.75" customHeight="1">
      <c r="N650" s="41"/>
      <c r="O650" s="41"/>
    </row>
    <row r="651" ht="15.75" customHeight="1">
      <c r="N651" s="41"/>
      <c r="O651" s="41"/>
    </row>
    <row r="652" ht="15.75" customHeight="1">
      <c r="N652" s="41"/>
      <c r="O652" s="41"/>
    </row>
    <row r="653" ht="15.75" customHeight="1">
      <c r="N653" s="41"/>
      <c r="O653" s="41"/>
    </row>
    <row r="654" ht="15.75" customHeight="1">
      <c r="N654" s="41"/>
      <c r="O654" s="41"/>
    </row>
    <row r="655" ht="15.75" customHeight="1">
      <c r="N655" s="41"/>
      <c r="O655" s="41"/>
    </row>
    <row r="656" ht="15.75" customHeight="1">
      <c r="N656" s="41"/>
      <c r="O656" s="41"/>
    </row>
    <row r="657" ht="15.75" customHeight="1">
      <c r="N657" s="41"/>
      <c r="O657" s="41"/>
    </row>
    <row r="658" ht="15.75" customHeight="1">
      <c r="N658" s="41"/>
      <c r="O658" s="41"/>
    </row>
    <row r="659" ht="15.75" customHeight="1">
      <c r="N659" s="41"/>
      <c r="O659" s="41"/>
    </row>
    <row r="660" ht="15.75" customHeight="1">
      <c r="N660" s="41"/>
      <c r="O660" s="41"/>
    </row>
    <row r="661" ht="15.75" customHeight="1">
      <c r="N661" s="41"/>
      <c r="O661" s="41"/>
    </row>
    <row r="662" ht="15.75" customHeight="1">
      <c r="N662" s="41"/>
      <c r="O662" s="41"/>
    </row>
    <row r="663" ht="15.75" customHeight="1">
      <c r="N663" s="41"/>
      <c r="O663" s="41"/>
    </row>
    <row r="664" ht="15.75" customHeight="1">
      <c r="N664" s="41"/>
      <c r="O664" s="41"/>
    </row>
    <row r="665" ht="15.75" customHeight="1">
      <c r="N665" s="41"/>
      <c r="O665" s="41"/>
    </row>
    <row r="666" ht="15.75" customHeight="1">
      <c r="N666" s="41"/>
      <c r="O666" s="41"/>
    </row>
    <row r="667" ht="15.75" customHeight="1">
      <c r="N667" s="41"/>
      <c r="O667" s="41"/>
    </row>
    <row r="668" ht="15.75" customHeight="1">
      <c r="N668" s="41"/>
      <c r="O668" s="41"/>
    </row>
    <row r="669" ht="15.75" customHeight="1">
      <c r="N669" s="41"/>
      <c r="O669" s="41"/>
    </row>
    <row r="670" ht="15.75" customHeight="1">
      <c r="N670" s="41"/>
      <c r="O670" s="41"/>
    </row>
    <row r="671" ht="15.75" customHeight="1">
      <c r="N671" s="41"/>
      <c r="O671" s="41"/>
    </row>
    <row r="672" ht="15.75" customHeight="1">
      <c r="N672" s="41"/>
      <c r="O672" s="41"/>
    </row>
    <row r="673" ht="15.75" customHeight="1">
      <c r="N673" s="41"/>
      <c r="O673" s="41"/>
    </row>
    <row r="674" ht="15.75" customHeight="1">
      <c r="N674" s="41"/>
      <c r="O674" s="41"/>
    </row>
    <row r="675" ht="15.75" customHeight="1">
      <c r="N675" s="41"/>
      <c r="O675" s="41"/>
    </row>
    <row r="676" ht="15.75" customHeight="1">
      <c r="N676" s="41"/>
      <c r="O676" s="41"/>
    </row>
    <row r="677" ht="15.75" customHeight="1">
      <c r="N677" s="41"/>
      <c r="O677" s="41"/>
    </row>
    <row r="678" ht="15.75" customHeight="1">
      <c r="N678" s="41"/>
      <c r="O678" s="41"/>
    </row>
    <row r="679" ht="15.75" customHeight="1">
      <c r="N679" s="41"/>
      <c r="O679" s="41"/>
    </row>
    <row r="680" ht="15.75" customHeight="1">
      <c r="N680" s="41"/>
      <c r="O680" s="41"/>
    </row>
    <row r="681" ht="15.75" customHeight="1">
      <c r="N681" s="41"/>
      <c r="O681" s="41"/>
    </row>
    <row r="682" ht="15.75" customHeight="1">
      <c r="N682" s="41"/>
      <c r="O682" s="41"/>
    </row>
    <row r="683" ht="15.75" customHeight="1">
      <c r="N683" s="41"/>
      <c r="O683" s="41"/>
    </row>
    <row r="684" ht="15.75" customHeight="1">
      <c r="N684" s="41"/>
      <c r="O684" s="41"/>
    </row>
    <row r="685" ht="15.75" customHeight="1">
      <c r="N685" s="41"/>
      <c r="O685" s="41"/>
    </row>
    <row r="686" ht="15.75" customHeight="1">
      <c r="N686" s="41"/>
      <c r="O686" s="41"/>
    </row>
    <row r="687" ht="15.75" customHeight="1">
      <c r="N687" s="41"/>
      <c r="O687" s="41"/>
    </row>
    <row r="688" ht="15.75" customHeight="1">
      <c r="N688" s="41"/>
      <c r="O688" s="41"/>
    </row>
    <row r="689" ht="15.75" customHeight="1">
      <c r="N689" s="41"/>
      <c r="O689" s="41"/>
    </row>
    <row r="690" ht="15.75" customHeight="1">
      <c r="N690" s="41"/>
      <c r="O690" s="41"/>
    </row>
    <row r="691" ht="15.75" customHeight="1">
      <c r="N691" s="41"/>
      <c r="O691" s="41"/>
    </row>
    <row r="692" ht="15.75" customHeight="1">
      <c r="N692" s="41"/>
      <c r="O692" s="41"/>
    </row>
    <row r="693" ht="15.75" customHeight="1">
      <c r="N693" s="41"/>
      <c r="O693" s="41"/>
    </row>
    <row r="694" ht="15.75" customHeight="1">
      <c r="N694" s="41"/>
      <c r="O694" s="41"/>
    </row>
    <row r="695" ht="15.75" customHeight="1">
      <c r="N695" s="41"/>
      <c r="O695" s="41"/>
    </row>
    <row r="696" ht="15.75" customHeight="1">
      <c r="N696" s="41"/>
      <c r="O696" s="41"/>
    </row>
    <row r="697" ht="15.75" customHeight="1">
      <c r="N697" s="41"/>
      <c r="O697" s="41"/>
    </row>
    <row r="698" ht="15.75" customHeight="1">
      <c r="N698" s="41"/>
      <c r="O698" s="41"/>
    </row>
    <row r="699" ht="15.75" customHeight="1">
      <c r="N699" s="41"/>
      <c r="O699" s="41"/>
    </row>
    <row r="700" ht="15.75" customHeight="1">
      <c r="N700" s="41"/>
      <c r="O700" s="41"/>
    </row>
    <row r="701" ht="15.75" customHeight="1">
      <c r="N701" s="41"/>
      <c r="O701" s="41"/>
    </row>
    <row r="702" ht="15.75" customHeight="1">
      <c r="N702" s="41"/>
      <c r="O702" s="41"/>
    </row>
    <row r="703" ht="15.75" customHeight="1">
      <c r="N703" s="41"/>
      <c r="O703" s="41"/>
    </row>
    <row r="704" ht="15.75" customHeight="1">
      <c r="N704" s="41"/>
      <c r="O704" s="41"/>
    </row>
    <row r="705" ht="15.75" customHeight="1">
      <c r="N705" s="41"/>
      <c r="O705" s="41"/>
    </row>
    <row r="706" ht="15.75" customHeight="1">
      <c r="N706" s="41"/>
      <c r="O706" s="41"/>
    </row>
    <row r="707" ht="15.75" customHeight="1">
      <c r="N707" s="41"/>
      <c r="O707" s="41"/>
    </row>
    <row r="708" ht="15.75" customHeight="1">
      <c r="N708" s="41"/>
      <c r="O708" s="41"/>
    </row>
    <row r="709" ht="15.75" customHeight="1">
      <c r="N709" s="41"/>
      <c r="O709" s="41"/>
    </row>
    <row r="710" ht="15.75" customHeight="1">
      <c r="N710" s="41"/>
      <c r="O710" s="41"/>
    </row>
    <row r="711" ht="15.75" customHeight="1">
      <c r="N711" s="41"/>
      <c r="O711" s="41"/>
    </row>
    <row r="712" ht="15.75" customHeight="1">
      <c r="N712" s="41"/>
      <c r="O712" s="41"/>
    </row>
    <row r="713" ht="15.75" customHeight="1">
      <c r="N713" s="41"/>
      <c r="O713" s="41"/>
    </row>
    <row r="714" ht="15.75" customHeight="1">
      <c r="N714" s="41"/>
      <c r="O714" s="41"/>
    </row>
    <row r="715" ht="15.75" customHeight="1">
      <c r="N715" s="41"/>
      <c r="O715" s="41"/>
    </row>
    <row r="716" ht="15.75" customHeight="1">
      <c r="N716" s="41"/>
      <c r="O716" s="41"/>
    </row>
    <row r="717" ht="15.75" customHeight="1">
      <c r="N717" s="41"/>
      <c r="O717" s="41"/>
    </row>
    <row r="718" ht="15.75" customHeight="1">
      <c r="N718" s="41"/>
      <c r="O718" s="41"/>
    </row>
    <row r="719" ht="15.75" customHeight="1">
      <c r="N719" s="41"/>
      <c r="O719" s="41"/>
    </row>
    <row r="720" ht="15.75" customHeight="1">
      <c r="N720" s="41"/>
      <c r="O720" s="41"/>
    </row>
    <row r="721" ht="15.75" customHeight="1">
      <c r="N721" s="41"/>
      <c r="O721" s="41"/>
    </row>
    <row r="722" ht="15.75" customHeight="1">
      <c r="N722" s="41"/>
      <c r="O722" s="41"/>
    </row>
    <row r="723" ht="15.75" customHeight="1">
      <c r="N723" s="41"/>
      <c r="O723" s="41"/>
    </row>
    <row r="724" ht="15.75" customHeight="1">
      <c r="N724" s="41"/>
      <c r="O724" s="41"/>
    </row>
    <row r="725" ht="15.75" customHeight="1">
      <c r="N725" s="41"/>
      <c r="O725" s="41"/>
    </row>
    <row r="726" ht="15.75" customHeight="1">
      <c r="N726" s="41"/>
      <c r="O726" s="41"/>
    </row>
    <row r="727" ht="15.75" customHeight="1">
      <c r="N727" s="41"/>
      <c r="O727" s="41"/>
    </row>
    <row r="728" ht="15.75" customHeight="1">
      <c r="N728" s="41"/>
      <c r="O728" s="41"/>
    </row>
    <row r="729" ht="15.75" customHeight="1">
      <c r="N729" s="41"/>
      <c r="O729" s="41"/>
    </row>
    <row r="730" ht="15.75" customHeight="1">
      <c r="N730" s="41"/>
      <c r="O730" s="41"/>
    </row>
    <row r="731" ht="15.75" customHeight="1">
      <c r="N731" s="41"/>
      <c r="O731" s="41"/>
    </row>
    <row r="732" ht="15.75" customHeight="1">
      <c r="N732" s="41"/>
      <c r="O732" s="41"/>
    </row>
    <row r="733" ht="15.75" customHeight="1">
      <c r="N733" s="41"/>
      <c r="O733" s="41"/>
    </row>
    <row r="734" ht="15.75" customHeight="1">
      <c r="N734" s="41"/>
      <c r="O734" s="41"/>
    </row>
    <row r="735" ht="15.75" customHeight="1">
      <c r="N735" s="41"/>
      <c r="O735" s="41"/>
    </row>
    <row r="736" ht="15.75" customHeight="1">
      <c r="N736" s="41"/>
      <c r="O736" s="41"/>
    </row>
    <row r="737" ht="15.75" customHeight="1">
      <c r="N737" s="41"/>
      <c r="O737" s="41"/>
    </row>
    <row r="738" ht="15.75" customHeight="1">
      <c r="N738" s="41"/>
      <c r="O738" s="41"/>
    </row>
    <row r="739" ht="15.75" customHeight="1">
      <c r="N739" s="41"/>
      <c r="O739" s="41"/>
    </row>
    <row r="740" ht="15.75" customHeight="1">
      <c r="N740" s="41"/>
      <c r="O740" s="41"/>
    </row>
    <row r="741" ht="15.75" customHeight="1">
      <c r="N741" s="41"/>
      <c r="O741" s="41"/>
    </row>
    <row r="742" ht="15.75" customHeight="1">
      <c r="N742" s="41"/>
      <c r="O742" s="41"/>
    </row>
    <row r="743" ht="15.75" customHeight="1">
      <c r="N743" s="41"/>
      <c r="O743" s="41"/>
    </row>
    <row r="744" ht="15.75" customHeight="1">
      <c r="N744" s="41"/>
      <c r="O744" s="41"/>
    </row>
    <row r="745" ht="15.75" customHeight="1">
      <c r="N745" s="41"/>
      <c r="O745" s="41"/>
    </row>
    <row r="746" ht="15.75" customHeight="1">
      <c r="N746" s="41"/>
      <c r="O746" s="41"/>
    </row>
    <row r="747" ht="15.75" customHeight="1">
      <c r="N747" s="41"/>
      <c r="O747" s="41"/>
    </row>
    <row r="748" ht="15.75" customHeight="1">
      <c r="N748" s="41"/>
      <c r="O748" s="41"/>
    </row>
    <row r="749" ht="15.75" customHeight="1">
      <c r="N749" s="41"/>
      <c r="O749" s="41"/>
    </row>
    <row r="750" ht="15.75" customHeight="1">
      <c r="N750" s="41"/>
      <c r="O750" s="41"/>
    </row>
    <row r="751" ht="15.75" customHeight="1">
      <c r="N751" s="41"/>
      <c r="O751" s="41"/>
    </row>
    <row r="752" ht="15.75" customHeight="1">
      <c r="N752" s="41"/>
      <c r="O752" s="41"/>
    </row>
    <row r="753" ht="15.75" customHeight="1">
      <c r="N753" s="41"/>
      <c r="O753" s="41"/>
    </row>
    <row r="754" ht="15.75" customHeight="1">
      <c r="N754" s="41"/>
      <c r="O754" s="41"/>
    </row>
    <row r="755" ht="15.75" customHeight="1">
      <c r="N755" s="41"/>
      <c r="O755" s="41"/>
    </row>
    <row r="756" ht="15.75" customHeight="1">
      <c r="N756" s="41"/>
      <c r="O756" s="41"/>
    </row>
    <row r="757" ht="15.75" customHeight="1">
      <c r="N757" s="41"/>
      <c r="O757" s="41"/>
    </row>
    <row r="758" ht="15.75" customHeight="1">
      <c r="N758" s="41"/>
      <c r="O758" s="41"/>
    </row>
    <row r="759" ht="15.75" customHeight="1">
      <c r="N759" s="41"/>
      <c r="O759" s="41"/>
    </row>
    <row r="760" ht="15.75" customHeight="1">
      <c r="N760" s="41"/>
      <c r="O760" s="41"/>
    </row>
    <row r="761" ht="15.75" customHeight="1">
      <c r="N761" s="41"/>
      <c r="O761" s="41"/>
    </row>
    <row r="762" ht="15.75" customHeight="1">
      <c r="N762" s="41"/>
      <c r="O762" s="41"/>
    </row>
    <row r="763" ht="15.75" customHeight="1">
      <c r="N763" s="41"/>
      <c r="O763" s="41"/>
    </row>
    <row r="764" ht="15.75" customHeight="1">
      <c r="N764" s="41"/>
      <c r="O764" s="41"/>
    </row>
    <row r="765" ht="15.75" customHeight="1">
      <c r="N765" s="41"/>
      <c r="O765" s="41"/>
    </row>
    <row r="766" ht="15.75" customHeight="1">
      <c r="N766" s="41"/>
      <c r="O766" s="41"/>
    </row>
    <row r="767" ht="15.75" customHeight="1">
      <c r="N767" s="41"/>
      <c r="O767" s="41"/>
    </row>
    <row r="768" ht="15.75" customHeight="1">
      <c r="N768" s="41"/>
      <c r="O768" s="41"/>
    </row>
    <row r="769" ht="15.75" customHeight="1">
      <c r="N769" s="41"/>
      <c r="O769" s="41"/>
    </row>
    <row r="770" ht="15.75" customHeight="1">
      <c r="N770" s="41"/>
      <c r="O770" s="41"/>
    </row>
    <row r="771" ht="15.75" customHeight="1">
      <c r="N771" s="41"/>
      <c r="O771" s="41"/>
    </row>
    <row r="772" ht="15.75" customHeight="1">
      <c r="N772" s="41"/>
      <c r="O772" s="41"/>
    </row>
    <row r="773" ht="15.75" customHeight="1">
      <c r="N773" s="41"/>
      <c r="O773" s="41"/>
    </row>
    <row r="774" ht="15.75" customHeight="1">
      <c r="N774" s="41"/>
      <c r="O774" s="41"/>
    </row>
    <row r="775" ht="15.75" customHeight="1">
      <c r="N775" s="41"/>
      <c r="O775" s="41"/>
    </row>
    <row r="776" ht="15.75" customHeight="1">
      <c r="N776" s="41"/>
      <c r="O776" s="41"/>
    </row>
    <row r="777" ht="15.75" customHeight="1">
      <c r="N777" s="41"/>
      <c r="O777" s="41"/>
    </row>
    <row r="778" ht="15.75" customHeight="1">
      <c r="N778" s="41"/>
      <c r="O778" s="41"/>
    </row>
    <row r="779" ht="15.75" customHeight="1">
      <c r="N779" s="41"/>
      <c r="O779" s="41"/>
    </row>
    <row r="780" ht="15.75" customHeight="1">
      <c r="N780" s="41"/>
      <c r="O780" s="41"/>
    </row>
    <row r="781" ht="15.75" customHeight="1">
      <c r="N781" s="41"/>
      <c r="O781" s="41"/>
    </row>
    <row r="782" ht="15.75" customHeight="1">
      <c r="N782" s="41"/>
      <c r="O782" s="41"/>
    </row>
    <row r="783" ht="15.75" customHeight="1">
      <c r="N783" s="41"/>
      <c r="O783" s="41"/>
    </row>
    <row r="784" ht="15.75" customHeight="1">
      <c r="N784" s="41"/>
      <c r="O784" s="41"/>
    </row>
    <row r="785" ht="15.75" customHeight="1">
      <c r="N785" s="41"/>
      <c r="O785" s="41"/>
    </row>
    <row r="786" ht="15.75" customHeight="1">
      <c r="N786" s="41"/>
      <c r="O786" s="41"/>
    </row>
    <row r="787" ht="15.75" customHeight="1">
      <c r="N787" s="41"/>
      <c r="O787" s="41"/>
    </row>
    <row r="788" ht="15.75" customHeight="1">
      <c r="N788" s="41"/>
      <c r="O788" s="41"/>
    </row>
    <row r="789" ht="15.75" customHeight="1">
      <c r="N789" s="41"/>
      <c r="O789" s="41"/>
    </row>
    <row r="790" ht="15.75" customHeight="1">
      <c r="N790" s="41"/>
      <c r="O790" s="41"/>
    </row>
    <row r="791" ht="15.75" customHeight="1">
      <c r="N791" s="41"/>
      <c r="O791" s="41"/>
    </row>
    <row r="792" ht="15.75" customHeight="1">
      <c r="N792" s="41"/>
      <c r="O792" s="41"/>
    </row>
    <row r="793" ht="15.75" customHeight="1">
      <c r="N793" s="41"/>
      <c r="O793" s="41"/>
    </row>
    <row r="794" ht="15.75" customHeight="1">
      <c r="N794" s="41"/>
      <c r="O794" s="41"/>
    </row>
    <row r="795" ht="15.75" customHeight="1">
      <c r="N795" s="41"/>
      <c r="O795" s="41"/>
    </row>
    <row r="796" ht="15.75" customHeight="1">
      <c r="N796" s="41"/>
      <c r="O796" s="41"/>
    </row>
    <row r="797" ht="15.75" customHeight="1">
      <c r="N797" s="41"/>
      <c r="O797" s="41"/>
    </row>
    <row r="798" ht="15.75" customHeight="1">
      <c r="N798" s="41"/>
      <c r="O798" s="41"/>
    </row>
    <row r="799" ht="15.75" customHeight="1">
      <c r="N799" s="41"/>
      <c r="O799" s="41"/>
    </row>
    <row r="800" ht="15.75" customHeight="1">
      <c r="N800" s="41"/>
      <c r="O800" s="41"/>
    </row>
    <row r="801" ht="15.75" customHeight="1">
      <c r="N801" s="41"/>
      <c r="O801" s="41"/>
    </row>
    <row r="802" ht="15.75" customHeight="1">
      <c r="N802" s="41"/>
      <c r="O802" s="41"/>
    </row>
    <row r="803" ht="15.75" customHeight="1">
      <c r="N803" s="41"/>
      <c r="O803" s="41"/>
    </row>
    <row r="804" ht="15.75" customHeight="1">
      <c r="N804" s="41"/>
      <c r="O804" s="41"/>
    </row>
    <row r="805" ht="15.75" customHeight="1">
      <c r="N805" s="41"/>
      <c r="O805" s="41"/>
    </row>
    <row r="806" ht="15.75" customHeight="1">
      <c r="N806" s="41"/>
      <c r="O806" s="41"/>
    </row>
    <row r="807" ht="15.75" customHeight="1">
      <c r="N807" s="41"/>
      <c r="O807" s="41"/>
    </row>
    <row r="808" ht="15.75" customHeight="1">
      <c r="N808" s="41"/>
      <c r="O808" s="41"/>
    </row>
    <row r="809" ht="15.75" customHeight="1">
      <c r="N809" s="41"/>
      <c r="O809" s="41"/>
    </row>
    <row r="810" ht="15.75" customHeight="1">
      <c r="N810" s="41"/>
      <c r="O810" s="41"/>
    </row>
    <row r="811" ht="15.75" customHeight="1">
      <c r="N811" s="41"/>
      <c r="O811" s="41"/>
    </row>
    <row r="812" ht="15.75" customHeight="1">
      <c r="N812" s="41"/>
      <c r="O812" s="41"/>
    </row>
    <row r="813" ht="15.75" customHeight="1">
      <c r="N813" s="41"/>
      <c r="O813" s="41"/>
    </row>
    <row r="814" ht="15.75" customHeight="1">
      <c r="N814" s="41"/>
      <c r="O814" s="41"/>
    </row>
    <row r="815" ht="15.75" customHeight="1">
      <c r="N815" s="41"/>
      <c r="O815" s="41"/>
    </row>
    <row r="816" ht="15.75" customHeight="1">
      <c r="N816" s="41"/>
      <c r="O816" s="41"/>
    </row>
    <row r="817" ht="15.75" customHeight="1">
      <c r="N817" s="41"/>
      <c r="O817" s="41"/>
    </row>
    <row r="818" ht="15.75" customHeight="1">
      <c r="N818" s="41"/>
      <c r="O818" s="41"/>
    </row>
    <row r="819" ht="15.75" customHeight="1">
      <c r="N819" s="41"/>
      <c r="O819" s="41"/>
    </row>
    <row r="820" ht="15.75" customHeight="1">
      <c r="N820" s="41"/>
      <c r="O820" s="41"/>
    </row>
    <row r="821" ht="15.75" customHeight="1">
      <c r="N821" s="41"/>
      <c r="O821" s="41"/>
    </row>
    <row r="822" ht="15.75" customHeight="1">
      <c r="N822" s="41"/>
      <c r="O822" s="41"/>
    </row>
    <row r="823" ht="15.75" customHeight="1">
      <c r="N823" s="41"/>
      <c r="O823" s="41"/>
    </row>
    <row r="824" ht="15.75" customHeight="1">
      <c r="N824" s="41"/>
      <c r="O824" s="41"/>
    </row>
    <row r="825" ht="15.75" customHeight="1">
      <c r="N825" s="41"/>
      <c r="O825" s="41"/>
    </row>
    <row r="826" ht="15.75" customHeight="1">
      <c r="N826" s="41"/>
      <c r="O826" s="41"/>
    </row>
    <row r="827" ht="15.75" customHeight="1">
      <c r="N827" s="41"/>
      <c r="O827" s="41"/>
    </row>
    <row r="828" ht="15.75" customHeight="1">
      <c r="N828" s="41"/>
      <c r="O828" s="41"/>
    </row>
    <row r="829" ht="15.75" customHeight="1">
      <c r="N829" s="41"/>
      <c r="O829" s="41"/>
    </row>
    <row r="830" ht="15.75" customHeight="1">
      <c r="N830" s="41"/>
      <c r="O830" s="41"/>
    </row>
    <row r="831" ht="15.75" customHeight="1">
      <c r="N831" s="41"/>
      <c r="O831" s="41"/>
    </row>
    <row r="832" ht="15.75" customHeight="1">
      <c r="N832" s="41"/>
      <c r="O832" s="41"/>
    </row>
    <row r="833" ht="15.75" customHeight="1">
      <c r="N833" s="41"/>
      <c r="O833" s="41"/>
    </row>
    <row r="834" ht="15.75" customHeight="1">
      <c r="N834" s="41"/>
      <c r="O834" s="41"/>
    </row>
    <row r="835" ht="15.75" customHeight="1">
      <c r="N835" s="41"/>
      <c r="O835" s="41"/>
    </row>
    <row r="836" ht="15.75" customHeight="1">
      <c r="N836" s="41"/>
      <c r="O836" s="41"/>
    </row>
    <row r="837" ht="15.75" customHeight="1">
      <c r="N837" s="41"/>
      <c r="O837" s="41"/>
    </row>
    <row r="838" ht="15.75" customHeight="1">
      <c r="N838" s="41"/>
      <c r="O838" s="41"/>
    </row>
    <row r="839" ht="15.75" customHeight="1">
      <c r="N839" s="41"/>
      <c r="O839" s="41"/>
    </row>
    <row r="840" ht="15.75" customHeight="1">
      <c r="N840" s="41"/>
      <c r="O840" s="41"/>
    </row>
    <row r="841" ht="15.75" customHeight="1">
      <c r="N841" s="41"/>
      <c r="O841" s="41"/>
    </row>
    <row r="842" ht="15.75" customHeight="1">
      <c r="N842" s="41"/>
      <c r="O842" s="41"/>
    </row>
    <row r="843" ht="15.75" customHeight="1">
      <c r="N843" s="41"/>
      <c r="O843" s="41"/>
    </row>
    <row r="844" ht="15.75" customHeight="1">
      <c r="N844" s="41"/>
      <c r="O844" s="41"/>
    </row>
    <row r="845" ht="15.75" customHeight="1">
      <c r="N845" s="41"/>
      <c r="O845" s="41"/>
    </row>
    <row r="846" ht="15.75" customHeight="1">
      <c r="N846" s="41"/>
      <c r="O846" s="41"/>
    </row>
    <row r="847" ht="15.75" customHeight="1">
      <c r="N847" s="41"/>
      <c r="O847" s="41"/>
    </row>
    <row r="848" ht="15.75" customHeight="1">
      <c r="N848" s="41"/>
      <c r="O848" s="41"/>
    </row>
    <row r="849" ht="15.75" customHeight="1">
      <c r="N849" s="41"/>
      <c r="O849" s="41"/>
    </row>
    <row r="850" ht="15.75" customHeight="1">
      <c r="N850" s="41"/>
      <c r="O850" s="41"/>
    </row>
    <row r="851" ht="15.75" customHeight="1">
      <c r="N851" s="41"/>
      <c r="O851" s="41"/>
    </row>
    <row r="852" ht="15.75" customHeight="1">
      <c r="N852" s="41"/>
      <c r="O852" s="41"/>
    </row>
    <row r="853" ht="15.75" customHeight="1">
      <c r="N853" s="41"/>
      <c r="O853" s="41"/>
    </row>
    <row r="854" ht="15.75" customHeight="1">
      <c r="N854" s="41"/>
      <c r="O854" s="41"/>
    </row>
    <row r="855" ht="15.75" customHeight="1">
      <c r="N855" s="41"/>
      <c r="O855" s="41"/>
    </row>
    <row r="856" ht="15.75" customHeight="1">
      <c r="N856" s="41"/>
      <c r="O856" s="41"/>
    </row>
    <row r="857" ht="15.75" customHeight="1">
      <c r="N857" s="41"/>
      <c r="O857" s="41"/>
    </row>
    <row r="858" ht="15.75" customHeight="1">
      <c r="N858" s="41"/>
      <c r="O858" s="41"/>
    </row>
    <row r="859" ht="15.75" customHeight="1">
      <c r="N859" s="41"/>
      <c r="O859" s="41"/>
    </row>
    <row r="860" ht="15.75" customHeight="1">
      <c r="N860" s="41"/>
      <c r="O860" s="41"/>
    </row>
    <row r="861" ht="15.75" customHeight="1">
      <c r="N861" s="41"/>
      <c r="O861" s="41"/>
    </row>
    <row r="862" ht="15.75" customHeight="1">
      <c r="N862" s="41"/>
      <c r="O862" s="41"/>
    </row>
    <row r="863" ht="15.75" customHeight="1">
      <c r="N863" s="41"/>
      <c r="O863" s="41"/>
    </row>
    <row r="864" ht="15.75" customHeight="1">
      <c r="N864" s="41"/>
      <c r="O864" s="41"/>
    </row>
    <row r="865" ht="15.75" customHeight="1">
      <c r="N865" s="41"/>
      <c r="O865" s="41"/>
    </row>
    <row r="866" ht="15.75" customHeight="1">
      <c r="N866" s="41"/>
      <c r="O866" s="41"/>
    </row>
    <row r="867" ht="15.75" customHeight="1">
      <c r="N867" s="41"/>
      <c r="O867" s="41"/>
    </row>
    <row r="868" ht="15.75" customHeight="1">
      <c r="N868" s="41"/>
      <c r="O868" s="41"/>
    </row>
    <row r="869" ht="15.75" customHeight="1">
      <c r="N869" s="41"/>
      <c r="O869" s="41"/>
    </row>
    <row r="870" ht="15.75" customHeight="1">
      <c r="N870" s="41"/>
      <c r="O870" s="41"/>
    </row>
    <row r="871" ht="15.75" customHeight="1">
      <c r="N871" s="41"/>
      <c r="O871" s="41"/>
    </row>
    <row r="872" ht="15.75" customHeight="1">
      <c r="N872" s="41"/>
      <c r="O872" s="41"/>
    </row>
    <row r="873" ht="15.75" customHeight="1">
      <c r="N873" s="41"/>
      <c r="O873" s="41"/>
    </row>
    <row r="874" ht="15.75" customHeight="1">
      <c r="N874" s="41"/>
      <c r="O874" s="41"/>
    </row>
    <row r="875" ht="15.75" customHeight="1">
      <c r="N875" s="41"/>
      <c r="O875" s="41"/>
    </row>
    <row r="876" ht="15.75" customHeight="1">
      <c r="N876" s="41"/>
      <c r="O876" s="41"/>
    </row>
    <row r="877" ht="15.75" customHeight="1">
      <c r="N877" s="41"/>
      <c r="O877" s="41"/>
    </row>
    <row r="878" ht="15.75" customHeight="1">
      <c r="N878" s="41"/>
      <c r="O878" s="41"/>
    </row>
    <row r="879" ht="15.75" customHeight="1">
      <c r="N879" s="41"/>
      <c r="O879" s="41"/>
    </row>
    <row r="880" ht="15.75" customHeight="1">
      <c r="N880" s="41"/>
      <c r="O880" s="41"/>
    </row>
    <row r="881" ht="15.75" customHeight="1">
      <c r="N881" s="41"/>
      <c r="O881" s="41"/>
    </row>
    <row r="882" ht="15.75" customHeight="1">
      <c r="N882" s="41"/>
      <c r="O882" s="41"/>
    </row>
    <row r="883" ht="15.75" customHeight="1">
      <c r="N883" s="41"/>
      <c r="O883" s="41"/>
    </row>
    <row r="884" ht="15.75" customHeight="1">
      <c r="N884" s="41"/>
      <c r="O884" s="41"/>
    </row>
    <row r="885" ht="15.75" customHeight="1">
      <c r="N885" s="41"/>
      <c r="O885" s="41"/>
    </row>
    <row r="886" ht="15.75" customHeight="1">
      <c r="N886" s="41"/>
      <c r="O886" s="41"/>
    </row>
    <row r="887" ht="15.75" customHeight="1">
      <c r="N887" s="41"/>
      <c r="O887" s="41"/>
    </row>
    <row r="888" ht="15.75" customHeight="1">
      <c r="N888" s="41"/>
      <c r="O888" s="41"/>
    </row>
    <row r="889" ht="15.75" customHeight="1">
      <c r="N889" s="41"/>
      <c r="O889" s="41"/>
    </row>
    <row r="890" ht="15.75" customHeight="1">
      <c r="N890" s="41"/>
      <c r="O890" s="41"/>
    </row>
    <row r="891" ht="15.75" customHeight="1">
      <c r="N891" s="41"/>
      <c r="O891" s="41"/>
    </row>
    <row r="892" ht="15.75" customHeight="1">
      <c r="N892" s="41"/>
      <c r="O892" s="41"/>
    </row>
    <row r="893" ht="15.75" customHeight="1">
      <c r="N893" s="41"/>
      <c r="O893" s="41"/>
    </row>
    <row r="894" ht="15.75" customHeight="1">
      <c r="N894" s="41"/>
      <c r="O894" s="41"/>
    </row>
    <row r="895" ht="15.75" customHeight="1">
      <c r="N895" s="41"/>
      <c r="O895" s="41"/>
    </row>
    <row r="896" ht="15.75" customHeight="1">
      <c r="N896" s="41"/>
      <c r="O896" s="41"/>
    </row>
    <row r="897" ht="15.75" customHeight="1">
      <c r="N897" s="41"/>
      <c r="O897" s="41"/>
    </row>
    <row r="898" ht="15.75" customHeight="1">
      <c r="N898" s="41"/>
      <c r="O898" s="41"/>
    </row>
    <row r="899" ht="15.75" customHeight="1">
      <c r="N899" s="41"/>
      <c r="O899" s="41"/>
    </row>
    <row r="900" ht="15.75" customHeight="1">
      <c r="N900" s="41"/>
      <c r="O900" s="41"/>
    </row>
    <row r="901" ht="15.75" customHeight="1">
      <c r="N901" s="41"/>
      <c r="O901" s="41"/>
    </row>
    <row r="902" ht="15.75" customHeight="1">
      <c r="N902" s="41"/>
      <c r="O902" s="41"/>
    </row>
    <row r="903" ht="15.75" customHeight="1">
      <c r="N903" s="41"/>
      <c r="O903" s="41"/>
    </row>
    <row r="904" ht="15.75" customHeight="1">
      <c r="N904" s="41"/>
      <c r="O904" s="41"/>
    </row>
    <row r="905" ht="15.75" customHeight="1">
      <c r="N905" s="41"/>
      <c r="O905" s="41"/>
    </row>
    <row r="906" ht="15.75" customHeight="1">
      <c r="N906" s="41"/>
      <c r="O906" s="41"/>
    </row>
    <row r="907" ht="15.75" customHeight="1">
      <c r="N907" s="41"/>
      <c r="O907" s="41"/>
    </row>
    <row r="908" ht="15.75" customHeight="1">
      <c r="N908" s="41"/>
      <c r="O908" s="41"/>
    </row>
    <row r="909" ht="15.75" customHeight="1">
      <c r="N909" s="41"/>
      <c r="O909" s="41"/>
    </row>
    <row r="910" ht="15.75" customHeight="1">
      <c r="N910" s="41"/>
      <c r="O910" s="41"/>
    </row>
    <row r="911" ht="15.75" customHeight="1">
      <c r="N911" s="41"/>
      <c r="O911" s="41"/>
    </row>
    <row r="912" ht="15.75" customHeight="1">
      <c r="N912" s="41"/>
      <c r="O912" s="41"/>
    </row>
    <row r="913" ht="15.75" customHeight="1">
      <c r="N913" s="41"/>
      <c r="O913" s="41"/>
    </row>
    <row r="914" ht="15.75" customHeight="1">
      <c r="N914" s="41"/>
      <c r="O914" s="41"/>
    </row>
    <row r="915" ht="15.75" customHeight="1">
      <c r="N915" s="41"/>
      <c r="O915" s="41"/>
    </row>
    <row r="916" ht="15.75" customHeight="1">
      <c r="N916" s="41"/>
      <c r="O916" s="41"/>
    </row>
    <row r="917" ht="15.75" customHeight="1">
      <c r="N917" s="41"/>
      <c r="O917" s="41"/>
    </row>
    <row r="918" ht="15.75" customHeight="1">
      <c r="N918" s="41"/>
      <c r="O918" s="41"/>
    </row>
    <row r="919" ht="15.75" customHeight="1">
      <c r="N919" s="41"/>
      <c r="O919" s="41"/>
    </row>
    <row r="920" ht="15.75" customHeight="1">
      <c r="N920" s="41"/>
      <c r="O920" s="41"/>
    </row>
    <row r="921" ht="15.75" customHeight="1">
      <c r="N921" s="41"/>
      <c r="O921" s="41"/>
    </row>
    <row r="922" ht="15.75" customHeight="1">
      <c r="N922" s="41"/>
      <c r="O922" s="41"/>
    </row>
    <row r="923" ht="15.75" customHeight="1">
      <c r="N923" s="41"/>
      <c r="O923" s="41"/>
    </row>
    <row r="924" ht="15.75" customHeight="1">
      <c r="N924" s="41"/>
      <c r="O924" s="41"/>
    </row>
    <row r="925" ht="15.75" customHeight="1">
      <c r="N925" s="41"/>
      <c r="O925" s="41"/>
    </row>
    <row r="926" ht="15.75" customHeight="1">
      <c r="N926" s="41"/>
      <c r="O926" s="41"/>
    </row>
    <row r="927" ht="15.75" customHeight="1">
      <c r="N927" s="41"/>
      <c r="O927" s="41"/>
    </row>
    <row r="928" ht="15.75" customHeight="1">
      <c r="N928" s="41"/>
      <c r="O928" s="41"/>
    </row>
    <row r="929" ht="15.75" customHeight="1">
      <c r="N929" s="41"/>
      <c r="O929" s="41"/>
    </row>
    <row r="930" ht="15.75" customHeight="1">
      <c r="N930" s="41"/>
      <c r="O930" s="41"/>
    </row>
    <row r="931" ht="15.75" customHeight="1">
      <c r="N931" s="41"/>
      <c r="O931" s="41"/>
    </row>
    <row r="932" ht="15.75" customHeight="1">
      <c r="N932" s="41"/>
      <c r="O932" s="41"/>
    </row>
    <row r="933" ht="15.75" customHeight="1">
      <c r="N933" s="41"/>
      <c r="O933" s="41"/>
    </row>
    <row r="934" ht="15.75" customHeight="1">
      <c r="N934" s="41"/>
      <c r="O934" s="41"/>
    </row>
    <row r="935" ht="15.75" customHeight="1">
      <c r="N935" s="41"/>
      <c r="O935" s="41"/>
    </row>
    <row r="936" ht="15.75" customHeight="1">
      <c r="N936" s="41"/>
      <c r="O936" s="41"/>
    </row>
    <row r="937" ht="15.75" customHeight="1">
      <c r="N937" s="41"/>
      <c r="O937" s="41"/>
    </row>
    <row r="938" ht="15.75" customHeight="1">
      <c r="N938" s="41"/>
      <c r="O938" s="41"/>
    </row>
    <row r="939" ht="15.75" customHeight="1">
      <c r="N939" s="41"/>
      <c r="O939" s="41"/>
    </row>
    <row r="940" ht="15.75" customHeight="1">
      <c r="N940" s="41"/>
      <c r="O940" s="41"/>
    </row>
    <row r="941" ht="15.75" customHeight="1">
      <c r="N941" s="41"/>
      <c r="O941" s="41"/>
    </row>
    <row r="942" ht="15.75" customHeight="1">
      <c r="N942" s="41"/>
      <c r="O942" s="41"/>
    </row>
    <row r="943" ht="15.75" customHeight="1">
      <c r="N943" s="41"/>
      <c r="O943" s="41"/>
    </row>
    <row r="944" ht="15.75" customHeight="1">
      <c r="N944" s="41"/>
      <c r="O944" s="41"/>
    </row>
    <row r="945" ht="15.75" customHeight="1">
      <c r="N945" s="41"/>
      <c r="O945" s="41"/>
    </row>
    <row r="946" ht="15.75" customHeight="1">
      <c r="N946" s="41"/>
      <c r="O946" s="41"/>
    </row>
    <row r="947" ht="15.75" customHeight="1">
      <c r="N947" s="41"/>
      <c r="O947" s="41"/>
    </row>
    <row r="948" ht="15.75" customHeight="1">
      <c r="N948" s="41"/>
      <c r="O948" s="41"/>
    </row>
    <row r="949" ht="15.75" customHeight="1">
      <c r="N949" s="41"/>
      <c r="O949" s="41"/>
    </row>
    <row r="950" ht="15.75" customHeight="1">
      <c r="N950" s="41"/>
      <c r="O950" s="41"/>
    </row>
    <row r="951" ht="15.75" customHeight="1">
      <c r="N951" s="41"/>
      <c r="O951" s="41"/>
    </row>
    <row r="952" ht="15.75" customHeight="1">
      <c r="N952" s="41"/>
      <c r="O952" s="41"/>
    </row>
    <row r="953" ht="15.75" customHeight="1">
      <c r="N953" s="41"/>
      <c r="O953" s="41"/>
    </row>
    <row r="954" ht="15.75" customHeight="1">
      <c r="N954" s="41"/>
      <c r="O954" s="41"/>
    </row>
    <row r="955" ht="15.75" customHeight="1">
      <c r="N955" s="41"/>
      <c r="O955" s="41"/>
    </row>
    <row r="956" ht="15.75" customHeight="1">
      <c r="N956" s="41"/>
      <c r="O956" s="41"/>
    </row>
    <row r="957" ht="15.75" customHeight="1">
      <c r="N957" s="41"/>
      <c r="O957" s="41"/>
    </row>
    <row r="958" ht="15.75" customHeight="1">
      <c r="N958" s="41"/>
      <c r="O958" s="41"/>
    </row>
    <row r="959" ht="15.75" customHeight="1">
      <c r="N959" s="41"/>
      <c r="O959" s="41"/>
    </row>
    <row r="960" ht="15.75" customHeight="1">
      <c r="N960" s="41"/>
      <c r="O960" s="41"/>
    </row>
    <row r="961" ht="15.75" customHeight="1">
      <c r="N961" s="41"/>
      <c r="O961" s="41"/>
    </row>
    <row r="962" ht="15.75" customHeight="1">
      <c r="N962" s="41"/>
      <c r="O962" s="41"/>
    </row>
    <row r="963" ht="15.75" customHeight="1">
      <c r="N963" s="41"/>
      <c r="O963" s="41"/>
    </row>
    <row r="964" ht="15.75" customHeight="1">
      <c r="N964" s="41"/>
      <c r="O964" s="41"/>
    </row>
    <row r="965" ht="15.75" customHeight="1">
      <c r="N965" s="41"/>
      <c r="O965" s="41"/>
    </row>
    <row r="966" ht="15.75" customHeight="1">
      <c r="N966" s="41"/>
      <c r="O966" s="41"/>
    </row>
    <row r="967" ht="15.75" customHeight="1">
      <c r="N967" s="41"/>
      <c r="O967" s="41"/>
    </row>
    <row r="968" ht="15.75" customHeight="1">
      <c r="N968" s="41"/>
      <c r="O968" s="41"/>
    </row>
    <row r="969" ht="15.75" customHeight="1">
      <c r="N969" s="41"/>
      <c r="O969" s="41"/>
    </row>
    <row r="970" ht="15.75" customHeight="1">
      <c r="N970" s="41"/>
      <c r="O970" s="41"/>
    </row>
    <row r="971" ht="15.75" customHeight="1">
      <c r="N971" s="41"/>
      <c r="O971" s="41"/>
    </row>
    <row r="972" ht="15.75" customHeight="1">
      <c r="N972" s="41"/>
      <c r="O972" s="41"/>
    </row>
    <row r="973" ht="15.75" customHeight="1">
      <c r="N973" s="41"/>
      <c r="O973" s="41"/>
    </row>
    <row r="974" ht="15.75" customHeight="1">
      <c r="N974" s="41"/>
      <c r="O974" s="41"/>
    </row>
    <row r="975" ht="15.75" customHeight="1">
      <c r="N975" s="41"/>
      <c r="O975" s="41"/>
    </row>
    <row r="976" ht="15.75" customHeight="1">
      <c r="N976" s="41"/>
      <c r="O976" s="41"/>
    </row>
    <row r="977" ht="15.75" customHeight="1">
      <c r="N977" s="41"/>
      <c r="O977" s="41"/>
    </row>
    <row r="978" ht="15.75" customHeight="1">
      <c r="N978" s="41"/>
      <c r="O978" s="41"/>
    </row>
    <row r="979" ht="15.75" customHeight="1">
      <c r="N979" s="41"/>
      <c r="O979" s="41"/>
    </row>
    <row r="980" ht="15.75" customHeight="1">
      <c r="N980" s="41"/>
      <c r="O980" s="41"/>
    </row>
    <row r="981" ht="15.75" customHeight="1">
      <c r="N981" s="41"/>
      <c r="O981" s="41"/>
    </row>
    <row r="982" ht="15.75" customHeight="1">
      <c r="N982" s="41"/>
      <c r="O982" s="41"/>
    </row>
    <row r="983" ht="15.75" customHeight="1">
      <c r="N983" s="41"/>
      <c r="O983" s="41"/>
    </row>
    <row r="984" ht="15.75" customHeight="1">
      <c r="N984" s="41"/>
      <c r="O984" s="41"/>
    </row>
    <row r="985" ht="15.75" customHeight="1">
      <c r="N985" s="41"/>
      <c r="O985" s="41"/>
    </row>
    <row r="986" ht="15.75" customHeight="1">
      <c r="N986" s="41"/>
      <c r="O986" s="41"/>
    </row>
    <row r="987" ht="15.75" customHeight="1">
      <c r="N987" s="41"/>
      <c r="O987" s="41"/>
    </row>
    <row r="988" ht="15.75" customHeight="1">
      <c r="N988" s="41"/>
      <c r="O988" s="41"/>
    </row>
    <row r="989" ht="15.75" customHeight="1">
      <c r="N989" s="41"/>
      <c r="O989" s="41"/>
    </row>
    <row r="990" ht="15.75" customHeight="1">
      <c r="N990" s="41"/>
      <c r="O990" s="41"/>
    </row>
    <row r="991" ht="15.75" customHeight="1">
      <c r="N991" s="41"/>
      <c r="O991" s="41"/>
    </row>
    <row r="992" ht="15.75" customHeight="1">
      <c r="N992" s="41"/>
      <c r="O992" s="41"/>
    </row>
    <row r="993" ht="15.75" customHeight="1">
      <c r="N993" s="41"/>
      <c r="O993" s="41"/>
    </row>
    <row r="994" ht="15.75" customHeight="1">
      <c r="N994" s="41"/>
      <c r="O994" s="41"/>
    </row>
    <row r="995" ht="15.75" customHeight="1">
      <c r="N995" s="41"/>
      <c r="O995" s="41"/>
    </row>
    <row r="996" ht="15.75" customHeight="1">
      <c r="N996" s="41"/>
      <c r="O996" s="41"/>
    </row>
    <row r="997" ht="15.75" customHeight="1">
      <c r="N997" s="41"/>
      <c r="O997" s="41"/>
    </row>
    <row r="998" ht="15.75" customHeight="1">
      <c r="N998" s="41"/>
      <c r="O998" s="41"/>
    </row>
    <row r="999" ht="15.75" customHeight="1">
      <c r="N999" s="41"/>
      <c r="O999" s="41"/>
    </row>
    <row r="1000" ht="15.75" customHeight="1">
      <c r="N1000" s="41"/>
      <c r="O1000" s="41"/>
    </row>
  </sheetData>
  <dataValidations>
    <dataValidation type="list" allowBlank="1" sqref="N2:N1000">
      <formula1>"Validado (resuelto),Resuelto (con pendiente menor),Resuelto pendiente de confirmar,Resuelto por TI Monific (Daniel),Sigue mal (abierto),Sigue mal — BNO reconoció que aplica,Sigue mal — verificado por API,BNO documentó resuelto pero sigue mal,Bloqueado — p"</formula1>
    </dataValidation>
    <dataValidation type="list" allowBlank="1" sqref="O2:O1000">
      <formula1>"Sí – Daniel (hecho),Pendiente TI,Condicionado a BNO,No aplica"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16.0"/>
    <col customWidth="1" min="3" max="3" width="34.0"/>
    <col customWidth="1" min="4" max="4" width="9.0"/>
    <col customWidth="1" min="5" max="5" width="26.0"/>
    <col customWidth="1" min="6" max="6" width="18.0"/>
    <col customWidth="1" min="7" max="7" width="14.0"/>
    <col customWidth="1" min="8" max="9" width="16.0"/>
    <col customWidth="1" min="10" max="10" width="18.0"/>
    <col customWidth="1" min="11" max="11" width="14.0"/>
    <col customWidth="1" min="12" max="12" width="18.0"/>
    <col customWidth="1" min="13" max="13" width="8.0"/>
    <col customWidth="1" min="14" max="14" width="14.0"/>
    <col customWidth="1" min="15" max="15" width="18.0"/>
    <col customWidth="1" min="16" max="16" width="22.0"/>
    <col customWidth="1" min="17" max="17" width="30.0"/>
  </cols>
  <sheetData>
    <row r="1" ht="30.0" customHeight="1">
      <c r="A1" s="36" t="s">
        <v>51</v>
      </c>
      <c r="B1" s="36" t="s">
        <v>1765</v>
      </c>
      <c r="C1" s="36" t="s">
        <v>1766</v>
      </c>
      <c r="D1" s="36" t="s">
        <v>1767</v>
      </c>
      <c r="E1" s="36" t="s">
        <v>1768</v>
      </c>
      <c r="F1" s="36" t="s">
        <v>1769</v>
      </c>
      <c r="G1" s="36" t="s">
        <v>1770</v>
      </c>
      <c r="H1" s="36" t="s">
        <v>1771</v>
      </c>
      <c r="I1" s="36" t="s">
        <v>1772</v>
      </c>
      <c r="J1" s="36" t="s">
        <v>1773</v>
      </c>
      <c r="K1" s="36" t="s">
        <v>1774</v>
      </c>
      <c r="L1" s="36" t="s">
        <v>1775</v>
      </c>
      <c r="M1" s="36" t="s">
        <v>1776</v>
      </c>
      <c r="N1" s="36" t="s">
        <v>1777</v>
      </c>
      <c r="O1" s="36" t="s">
        <v>64</v>
      </c>
      <c r="P1" s="36" t="s">
        <v>1778</v>
      </c>
      <c r="Q1" s="36" t="s">
        <v>1779</v>
      </c>
    </row>
    <row r="2">
      <c r="A2" s="37" t="s">
        <v>1780</v>
      </c>
      <c r="B2" s="37" t="s">
        <v>1781</v>
      </c>
      <c r="C2" s="37" t="s">
        <v>1782</v>
      </c>
      <c r="D2" s="37" t="s">
        <v>1783</v>
      </c>
      <c r="E2" s="37" t="s">
        <v>1784</v>
      </c>
      <c r="F2" s="37" t="s">
        <v>1785</v>
      </c>
      <c r="G2" s="37" t="s">
        <v>1786</v>
      </c>
      <c r="H2" s="37"/>
      <c r="I2" s="37" t="s">
        <v>1787</v>
      </c>
      <c r="J2" s="37" t="s">
        <v>1788</v>
      </c>
      <c r="K2" s="53" t="s">
        <v>1789</v>
      </c>
      <c r="L2" s="54" t="s">
        <v>1790</v>
      </c>
      <c r="M2" s="37" t="s">
        <v>1791</v>
      </c>
      <c r="N2" s="37"/>
      <c r="O2" s="55" t="s">
        <v>1354</v>
      </c>
      <c r="P2" s="37"/>
      <c r="Q2" s="37"/>
    </row>
    <row r="3">
      <c r="A3" s="42" t="s">
        <v>1792</v>
      </c>
      <c r="B3" s="42" t="s">
        <v>1781</v>
      </c>
      <c r="C3" s="42" t="s">
        <v>1793</v>
      </c>
      <c r="D3" s="42" t="s">
        <v>1783</v>
      </c>
      <c r="E3" s="42" t="s">
        <v>1794</v>
      </c>
      <c r="F3" s="42" t="s">
        <v>1785</v>
      </c>
      <c r="G3" s="42" t="s">
        <v>1786</v>
      </c>
      <c r="H3" s="42"/>
      <c r="I3" s="42" t="s">
        <v>1787</v>
      </c>
      <c r="J3" s="42" t="s">
        <v>1788</v>
      </c>
      <c r="K3" s="53" t="s">
        <v>1789</v>
      </c>
      <c r="L3" s="54" t="s">
        <v>1790</v>
      </c>
      <c r="M3" s="42" t="s">
        <v>1791</v>
      </c>
      <c r="N3" s="42"/>
      <c r="O3" s="55" t="s">
        <v>1354</v>
      </c>
      <c r="P3" s="42"/>
      <c r="Q3" s="42"/>
    </row>
    <row r="4">
      <c r="A4" s="37" t="s">
        <v>1795</v>
      </c>
      <c r="B4" s="37" t="s">
        <v>1781</v>
      </c>
      <c r="C4" s="37" t="s">
        <v>1796</v>
      </c>
      <c r="D4" s="37" t="s">
        <v>1783</v>
      </c>
      <c r="E4" s="37" t="s">
        <v>1797</v>
      </c>
      <c r="F4" s="37" t="s">
        <v>1785</v>
      </c>
      <c r="G4" s="37" t="s">
        <v>1786</v>
      </c>
      <c r="H4" s="37"/>
      <c r="I4" s="37" t="s">
        <v>1787</v>
      </c>
      <c r="J4" s="37" t="s">
        <v>1788</v>
      </c>
      <c r="K4" s="53" t="s">
        <v>1789</v>
      </c>
      <c r="L4" s="54" t="s">
        <v>1790</v>
      </c>
      <c r="M4" s="37" t="s">
        <v>1791</v>
      </c>
      <c r="N4" s="37"/>
      <c r="O4" s="55" t="s">
        <v>1354</v>
      </c>
      <c r="P4" s="37"/>
      <c r="Q4" s="37"/>
    </row>
    <row r="5">
      <c r="A5" s="42" t="s">
        <v>1798</v>
      </c>
      <c r="B5" s="42" t="s">
        <v>1781</v>
      </c>
      <c r="C5" s="42" t="s">
        <v>1799</v>
      </c>
      <c r="D5" s="42" t="s">
        <v>1783</v>
      </c>
      <c r="E5" s="42" t="s">
        <v>1800</v>
      </c>
      <c r="F5" s="42" t="s">
        <v>1785</v>
      </c>
      <c r="G5" s="42" t="s">
        <v>1786</v>
      </c>
      <c r="H5" s="42"/>
      <c r="I5" s="42" t="s">
        <v>1787</v>
      </c>
      <c r="J5" s="42" t="s">
        <v>1788</v>
      </c>
      <c r="K5" s="53" t="s">
        <v>1789</v>
      </c>
      <c r="L5" s="54" t="s">
        <v>1790</v>
      </c>
      <c r="M5" s="42" t="s">
        <v>1791</v>
      </c>
      <c r="N5" s="42"/>
      <c r="O5" s="55" t="s">
        <v>1354</v>
      </c>
      <c r="P5" s="42"/>
      <c r="Q5" s="42"/>
    </row>
    <row r="6">
      <c r="A6" s="37" t="s">
        <v>1801</v>
      </c>
      <c r="B6" s="37" t="s">
        <v>1781</v>
      </c>
      <c r="C6" s="37" t="s">
        <v>1802</v>
      </c>
      <c r="D6" s="37" t="s">
        <v>1783</v>
      </c>
      <c r="E6" s="37" t="s">
        <v>1803</v>
      </c>
      <c r="F6" s="37" t="s">
        <v>1785</v>
      </c>
      <c r="G6" s="37" t="s">
        <v>1786</v>
      </c>
      <c r="H6" s="37"/>
      <c r="I6" s="37" t="s">
        <v>1787</v>
      </c>
      <c r="J6" s="37" t="s">
        <v>1788</v>
      </c>
      <c r="K6" s="53" t="s">
        <v>1789</v>
      </c>
      <c r="L6" s="54" t="s">
        <v>1790</v>
      </c>
      <c r="M6" s="37" t="s">
        <v>1791</v>
      </c>
      <c r="N6" s="37"/>
      <c r="O6" s="55" t="s">
        <v>1354</v>
      </c>
      <c r="P6" s="37"/>
      <c r="Q6" s="37"/>
    </row>
    <row r="7">
      <c r="A7" s="42" t="s">
        <v>1804</v>
      </c>
      <c r="B7" s="42" t="s">
        <v>1781</v>
      </c>
      <c r="C7" s="42" t="s">
        <v>1805</v>
      </c>
      <c r="D7" s="42" t="s">
        <v>1783</v>
      </c>
      <c r="E7" s="42" t="s">
        <v>1806</v>
      </c>
      <c r="F7" s="42" t="s">
        <v>1785</v>
      </c>
      <c r="G7" s="42" t="s">
        <v>1786</v>
      </c>
      <c r="H7" s="42"/>
      <c r="I7" s="42" t="s">
        <v>1787</v>
      </c>
      <c r="J7" s="42" t="s">
        <v>1788</v>
      </c>
      <c r="K7" s="53" t="s">
        <v>1789</v>
      </c>
      <c r="L7" s="54" t="s">
        <v>1790</v>
      </c>
      <c r="M7" s="42" t="s">
        <v>1791</v>
      </c>
      <c r="N7" s="42"/>
      <c r="O7" s="55" t="s">
        <v>1354</v>
      </c>
      <c r="P7" s="42"/>
      <c r="Q7" s="42"/>
    </row>
    <row r="8">
      <c r="A8" s="37" t="s">
        <v>1807</v>
      </c>
      <c r="B8" s="37" t="s">
        <v>1781</v>
      </c>
      <c r="C8" s="37" t="s">
        <v>1808</v>
      </c>
      <c r="D8" s="37" t="s">
        <v>1783</v>
      </c>
      <c r="E8" s="37" t="s">
        <v>1809</v>
      </c>
      <c r="F8" s="37" t="s">
        <v>1785</v>
      </c>
      <c r="G8" s="37" t="s">
        <v>1786</v>
      </c>
      <c r="H8" s="37"/>
      <c r="I8" s="37" t="s">
        <v>1787</v>
      </c>
      <c r="J8" s="37" t="s">
        <v>1788</v>
      </c>
      <c r="K8" s="53" t="s">
        <v>1789</v>
      </c>
      <c r="L8" s="54" t="s">
        <v>1790</v>
      </c>
      <c r="M8" s="37" t="s">
        <v>1791</v>
      </c>
      <c r="N8" s="37"/>
      <c r="O8" s="55" t="s">
        <v>1354</v>
      </c>
      <c r="P8" s="37"/>
      <c r="Q8" s="37"/>
    </row>
    <row r="9">
      <c r="A9" s="42" t="s">
        <v>1810</v>
      </c>
      <c r="B9" s="42" t="s">
        <v>1781</v>
      </c>
      <c r="C9" s="42" t="s">
        <v>1811</v>
      </c>
      <c r="D9" s="42" t="s">
        <v>1812</v>
      </c>
      <c r="E9" s="42" t="s">
        <v>1813</v>
      </c>
      <c r="F9" s="42" t="s">
        <v>1785</v>
      </c>
      <c r="G9" s="42" t="s">
        <v>1786</v>
      </c>
      <c r="H9" s="42"/>
      <c r="I9" s="42" t="s">
        <v>1787</v>
      </c>
      <c r="J9" s="42" t="s">
        <v>1788</v>
      </c>
      <c r="K9" s="53" t="s">
        <v>1789</v>
      </c>
      <c r="L9" s="54" t="s">
        <v>1790</v>
      </c>
      <c r="M9" s="42" t="s">
        <v>1791</v>
      </c>
      <c r="N9" s="42"/>
      <c r="O9" s="55" t="s">
        <v>1354</v>
      </c>
      <c r="P9" s="42"/>
      <c r="Q9" s="42"/>
    </row>
    <row r="10">
      <c r="A10" s="37" t="s">
        <v>1814</v>
      </c>
      <c r="B10" s="37" t="s">
        <v>1781</v>
      </c>
      <c r="C10" s="37" t="s">
        <v>1815</v>
      </c>
      <c r="D10" s="37" t="s">
        <v>1783</v>
      </c>
      <c r="E10" s="37" t="s">
        <v>1816</v>
      </c>
      <c r="F10" s="37" t="s">
        <v>1785</v>
      </c>
      <c r="G10" s="37" t="s">
        <v>1786</v>
      </c>
      <c r="H10" s="37"/>
      <c r="I10" s="37" t="s">
        <v>1787</v>
      </c>
      <c r="J10" s="37" t="s">
        <v>1788</v>
      </c>
      <c r="K10" s="53" t="s">
        <v>1789</v>
      </c>
      <c r="L10" s="54" t="s">
        <v>1790</v>
      </c>
      <c r="M10" s="37" t="s">
        <v>1791</v>
      </c>
      <c r="N10" s="37"/>
      <c r="O10" s="55" t="s">
        <v>1354</v>
      </c>
      <c r="P10" s="37"/>
      <c r="Q10" s="37"/>
    </row>
    <row r="11">
      <c r="A11" s="42" t="s">
        <v>1817</v>
      </c>
      <c r="B11" s="42" t="s">
        <v>1781</v>
      </c>
      <c r="C11" s="42" t="s">
        <v>1818</v>
      </c>
      <c r="D11" s="42" t="s">
        <v>1783</v>
      </c>
      <c r="E11" s="42" t="s">
        <v>1819</v>
      </c>
      <c r="F11" s="42" t="s">
        <v>1785</v>
      </c>
      <c r="G11" s="42" t="s">
        <v>1786</v>
      </c>
      <c r="H11" s="42"/>
      <c r="I11" s="42" t="s">
        <v>1787</v>
      </c>
      <c r="J11" s="42" t="s">
        <v>1788</v>
      </c>
      <c r="K11" s="53" t="s">
        <v>1789</v>
      </c>
      <c r="L11" s="54" t="s">
        <v>1790</v>
      </c>
      <c r="M11" s="42" t="s">
        <v>1791</v>
      </c>
      <c r="N11" s="42"/>
      <c r="O11" s="55" t="s">
        <v>1354</v>
      </c>
      <c r="P11" s="42"/>
      <c r="Q11" s="42"/>
    </row>
    <row r="12">
      <c r="A12" s="37" t="s">
        <v>1820</v>
      </c>
      <c r="B12" s="37" t="s">
        <v>1781</v>
      </c>
      <c r="C12" s="37" t="s">
        <v>1821</v>
      </c>
      <c r="D12" s="37" t="s">
        <v>1783</v>
      </c>
      <c r="E12" s="37" t="s">
        <v>1822</v>
      </c>
      <c r="F12" s="37" t="s">
        <v>1785</v>
      </c>
      <c r="G12" s="37" t="s">
        <v>1786</v>
      </c>
      <c r="H12" s="37"/>
      <c r="I12" s="37" t="s">
        <v>1787</v>
      </c>
      <c r="J12" s="37" t="s">
        <v>1788</v>
      </c>
      <c r="K12" s="53" t="s">
        <v>1789</v>
      </c>
      <c r="L12" s="54" t="s">
        <v>1790</v>
      </c>
      <c r="M12" s="37" t="s">
        <v>1791</v>
      </c>
      <c r="N12" s="37"/>
      <c r="O12" s="55" t="s">
        <v>1354</v>
      </c>
      <c r="P12" s="37"/>
      <c r="Q12" s="37"/>
    </row>
    <row r="13">
      <c r="A13" s="42" t="s">
        <v>1823</v>
      </c>
      <c r="B13" s="42" t="s">
        <v>1781</v>
      </c>
      <c r="C13" s="42" t="s">
        <v>1824</v>
      </c>
      <c r="D13" s="42" t="s">
        <v>1783</v>
      </c>
      <c r="E13" s="42" t="s">
        <v>1825</v>
      </c>
      <c r="F13" s="42" t="s">
        <v>1785</v>
      </c>
      <c r="G13" s="42" t="s">
        <v>1786</v>
      </c>
      <c r="H13" s="42"/>
      <c r="I13" s="42" t="s">
        <v>1787</v>
      </c>
      <c r="J13" s="42" t="s">
        <v>1788</v>
      </c>
      <c r="K13" s="53" t="s">
        <v>1789</v>
      </c>
      <c r="L13" s="54" t="s">
        <v>1790</v>
      </c>
      <c r="M13" s="42" t="s">
        <v>1791</v>
      </c>
      <c r="N13" s="42"/>
      <c r="O13" s="55" t="s">
        <v>1354</v>
      </c>
      <c r="P13" s="42"/>
      <c r="Q13" s="42"/>
    </row>
    <row r="14">
      <c r="A14" s="37" t="s">
        <v>1826</v>
      </c>
      <c r="B14" s="37" t="s">
        <v>1781</v>
      </c>
      <c r="C14" s="37" t="s">
        <v>1827</v>
      </c>
      <c r="D14" s="37" t="s">
        <v>1828</v>
      </c>
      <c r="E14" s="37" t="s">
        <v>1829</v>
      </c>
      <c r="F14" s="37" t="s">
        <v>1830</v>
      </c>
      <c r="G14" s="37" t="s">
        <v>1831</v>
      </c>
      <c r="H14" s="37"/>
      <c r="I14" s="37" t="s">
        <v>1832</v>
      </c>
      <c r="J14" s="37" t="s">
        <v>1788</v>
      </c>
      <c r="K14" s="53" t="s">
        <v>1789</v>
      </c>
      <c r="L14" s="54" t="s">
        <v>1790</v>
      </c>
      <c r="M14" s="37" t="s">
        <v>1791</v>
      </c>
      <c r="N14" s="37"/>
      <c r="O14" s="55" t="s">
        <v>1354</v>
      </c>
      <c r="P14" s="37"/>
      <c r="Q14" s="37"/>
    </row>
    <row r="15">
      <c r="A15" s="42" t="s">
        <v>1833</v>
      </c>
      <c r="B15" s="42" t="s">
        <v>1781</v>
      </c>
      <c r="C15" s="42" t="s">
        <v>1834</v>
      </c>
      <c r="D15" s="42" t="s">
        <v>1828</v>
      </c>
      <c r="E15" s="42" t="s">
        <v>1835</v>
      </c>
      <c r="F15" s="42" t="s">
        <v>1836</v>
      </c>
      <c r="G15" s="42" t="s">
        <v>1831</v>
      </c>
      <c r="H15" s="42"/>
      <c r="I15" s="42" t="s">
        <v>1832</v>
      </c>
      <c r="J15" s="42" t="s">
        <v>1788</v>
      </c>
      <c r="K15" s="53" t="s">
        <v>1789</v>
      </c>
      <c r="L15" s="54" t="s">
        <v>1790</v>
      </c>
      <c r="M15" s="42" t="s">
        <v>1791</v>
      </c>
      <c r="N15" s="42"/>
      <c r="O15" s="55" t="s">
        <v>1354</v>
      </c>
      <c r="P15" s="42"/>
      <c r="Q15" s="42"/>
    </row>
    <row r="16">
      <c r="A16" s="37" t="s">
        <v>1837</v>
      </c>
      <c r="B16" s="37" t="s">
        <v>1781</v>
      </c>
      <c r="C16" s="37" t="s">
        <v>1838</v>
      </c>
      <c r="D16" s="37" t="s">
        <v>1783</v>
      </c>
      <c r="E16" s="37" t="s">
        <v>1839</v>
      </c>
      <c r="F16" s="37" t="s">
        <v>1785</v>
      </c>
      <c r="G16" s="37" t="s">
        <v>1786</v>
      </c>
      <c r="H16" s="37"/>
      <c r="I16" s="37" t="s">
        <v>1832</v>
      </c>
      <c r="J16" s="37" t="s">
        <v>1788</v>
      </c>
      <c r="K16" s="53" t="s">
        <v>1789</v>
      </c>
      <c r="L16" s="54" t="s">
        <v>1790</v>
      </c>
      <c r="M16" s="37" t="s">
        <v>1791</v>
      </c>
      <c r="N16" s="37"/>
      <c r="O16" s="55" t="s">
        <v>1354</v>
      </c>
      <c r="P16" s="37"/>
      <c r="Q16" s="37"/>
    </row>
    <row r="17">
      <c r="A17" s="42" t="s">
        <v>1840</v>
      </c>
      <c r="B17" s="42" t="s">
        <v>1781</v>
      </c>
      <c r="C17" s="42" t="s">
        <v>1841</v>
      </c>
      <c r="D17" s="42" t="s">
        <v>1783</v>
      </c>
      <c r="E17" s="42" t="s">
        <v>1842</v>
      </c>
      <c r="F17" s="42" t="s">
        <v>1785</v>
      </c>
      <c r="G17" s="42" t="s">
        <v>1786</v>
      </c>
      <c r="H17" s="42"/>
      <c r="I17" s="42" t="s">
        <v>1832</v>
      </c>
      <c r="J17" s="42" t="s">
        <v>1788</v>
      </c>
      <c r="K17" s="53" t="s">
        <v>1789</v>
      </c>
      <c r="L17" s="54" t="s">
        <v>1790</v>
      </c>
      <c r="M17" s="42" t="s">
        <v>1791</v>
      </c>
      <c r="N17" s="42"/>
      <c r="O17" s="55" t="s">
        <v>1354</v>
      </c>
      <c r="P17" s="42"/>
      <c r="Q17" s="42"/>
    </row>
    <row r="18">
      <c r="A18" s="37" t="s">
        <v>1843</v>
      </c>
      <c r="B18" s="37" t="s">
        <v>1781</v>
      </c>
      <c r="C18" s="37" t="s">
        <v>1844</v>
      </c>
      <c r="D18" s="37" t="s">
        <v>1845</v>
      </c>
      <c r="E18" s="37" t="s">
        <v>1846</v>
      </c>
      <c r="F18" s="37" t="s">
        <v>1785</v>
      </c>
      <c r="G18" s="37" t="s">
        <v>1847</v>
      </c>
      <c r="H18" s="37"/>
      <c r="I18" s="37" t="s">
        <v>1832</v>
      </c>
      <c r="J18" s="37" t="s">
        <v>1788</v>
      </c>
      <c r="K18" s="53" t="s">
        <v>1789</v>
      </c>
      <c r="L18" s="54" t="s">
        <v>1790</v>
      </c>
      <c r="M18" s="37" t="s">
        <v>1791</v>
      </c>
      <c r="N18" s="37"/>
      <c r="O18" s="55" t="s">
        <v>1354</v>
      </c>
      <c r="P18" s="37"/>
      <c r="Q18" s="37"/>
    </row>
    <row r="19">
      <c r="A19" s="42" t="s">
        <v>1848</v>
      </c>
      <c r="B19" s="42" t="s">
        <v>1781</v>
      </c>
      <c r="C19" s="42" t="s">
        <v>1849</v>
      </c>
      <c r="D19" s="42" t="s">
        <v>1783</v>
      </c>
      <c r="E19" s="42" t="s">
        <v>1850</v>
      </c>
      <c r="F19" s="42" t="s">
        <v>1785</v>
      </c>
      <c r="G19" s="42" t="s">
        <v>1786</v>
      </c>
      <c r="H19" s="42"/>
      <c r="I19" s="42" t="s">
        <v>1832</v>
      </c>
      <c r="J19" s="42" t="s">
        <v>1788</v>
      </c>
      <c r="K19" s="53" t="s">
        <v>1789</v>
      </c>
      <c r="L19" s="54" t="s">
        <v>1790</v>
      </c>
      <c r="M19" s="42" t="s">
        <v>1791</v>
      </c>
      <c r="N19" s="42"/>
      <c r="O19" s="55" t="s">
        <v>1354</v>
      </c>
      <c r="P19" s="42"/>
      <c r="Q19" s="42"/>
    </row>
    <row r="20">
      <c r="A20" s="37" t="s">
        <v>1851</v>
      </c>
      <c r="B20" s="37" t="s">
        <v>1781</v>
      </c>
      <c r="C20" s="37" t="s">
        <v>1852</v>
      </c>
      <c r="D20" s="37" t="s">
        <v>1783</v>
      </c>
      <c r="E20" s="37" t="s">
        <v>1853</v>
      </c>
      <c r="F20" s="37" t="s">
        <v>1785</v>
      </c>
      <c r="G20" s="37" t="s">
        <v>1786</v>
      </c>
      <c r="H20" s="37"/>
      <c r="I20" s="37" t="s">
        <v>1832</v>
      </c>
      <c r="J20" s="37" t="s">
        <v>1788</v>
      </c>
      <c r="K20" s="53" t="s">
        <v>1789</v>
      </c>
      <c r="L20" s="54" t="s">
        <v>1790</v>
      </c>
      <c r="M20" s="37" t="s">
        <v>1791</v>
      </c>
      <c r="N20" s="37"/>
      <c r="O20" s="55" t="s">
        <v>1354</v>
      </c>
      <c r="P20" s="37"/>
      <c r="Q20" s="37"/>
    </row>
    <row r="21" ht="15.75" customHeight="1">
      <c r="A21" s="42" t="s">
        <v>1854</v>
      </c>
      <c r="B21" s="42" t="s">
        <v>1781</v>
      </c>
      <c r="C21" s="42" t="s">
        <v>1855</v>
      </c>
      <c r="D21" s="42" t="s">
        <v>1783</v>
      </c>
      <c r="E21" s="42" t="s">
        <v>1856</v>
      </c>
      <c r="F21" s="42" t="s">
        <v>1785</v>
      </c>
      <c r="G21" s="42" t="s">
        <v>1786</v>
      </c>
      <c r="H21" s="42"/>
      <c r="I21" s="42" t="s">
        <v>1832</v>
      </c>
      <c r="J21" s="42" t="s">
        <v>1788</v>
      </c>
      <c r="K21" s="53" t="s">
        <v>1789</v>
      </c>
      <c r="L21" s="54" t="s">
        <v>1790</v>
      </c>
      <c r="M21" s="42" t="s">
        <v>1791</v>
      </c>
      <c r="N21" s="42"/>
      <c r="O21" s="55" t="s">
        <v>1354</v>
      </c>
      <c r="P21" s="42"/>
      <c r="Q21" s="42"/>
    </row>
    <row r="22" ht="15.75" customHeight="1">
      <c r="A22" s="37" t="s">
        <v>1857</v>
      </c>
      <c r="B22" s="37" t="s">
        <v>1781</v>
      </c>
      <c r="C22" s="37" t="s">
        <v>1858</v>
      </c>
      <c r="D22" s="37" t="s">
        <v>1783</v>
      </c>
      <c r="E22" s="37" t="s">
        <v>1859</v>
      </c>
      <c r="F22" s="37" t="s">
        <v>1785</v>
      </c>
      <c r="G22" s="37" t="s">
        <v>1786</v>
      </c>
      <c r="H22" s="37"/>
      <c r="I22" s="37" t="s">
        <v>1832</v>
      </c>
      <c r="J22" s="37" t="s">
        <v>1788</v>
      </c>
      <c r="K22" s="53" t="s">
        <v>1789</v>
      </c>
      <c r="L22" s="54" t="s">
        <v>1790</v>
      </c>
      <c r="M22" s="37" t="s">
        <v>1791</v>
      </c>
      <c r="N22" s="37"/>
      <c r="O22" s="55" t="s">
        <v>1354</v>
      </c>
      <c r="P22" s="37"/>
      <c r="Q22" s="37"/>
    </row>
    <row r="23" ht="15.75" customHeight="1">
      <c r="A23" s="42" t="s">
        <v>1860</v>
      </c>
      <c r="B23" s="42" t="s">
        <v>1781</v>
      </c>
      <c r="C23" s="42" t="s">
        <v>1861</v>
      </c>
      <c r="D23" s="42" t="s">
        <v>1862</v>
      </c>
      <c r="E23" s="42" t="s">
        <v>1863</v>
      </c>
      <c r="F23" s="42" t="s">
        <v>1864</v>
      </c>
      <c r="G23" s="42" t="s">
        <v>1831</v>
      </c>
      <c r="H23" s="42"/>
      <c r="I23" s="42" t="s">
        <v>1787</v>
      </c>
      <c r="J23" s="42" t="s">
        <v>1788</v>
      </c>
      <c r="K23" s="53" t="s">
        <v>1789</v>
      </c>
      <c r="L23" s="54" t="s">
        <v>1790</v>
      </c>
      <c r="M23" s="42" t="s">
        <v>1791</v>
      </c>
      <c r="N23" s="42"/>
      <c r="O23" s="55" t="s">
        <v>1354</v>
      </c>
      <c r="P23" s="42"/>
      <c r="Q23" s="42"/>
    </row>
    <row r="24" ht="15.75" customHeight="1">
      <c r="A24" s="37" t="s">
        <v>1865</v>
      </c>
      <c r="B24" s="37" t="s">
        <v>1740</v>
      </c>
      <c r="C24" s="37" t="s">
        <v>1866</v>
      </c>
      <c r="D24" s="37" t="s">
        <v>1812</v>
      </c>
      <c r="E24" s="37" t="s">
        <v>1867</v>
      </c>
      <c r="F24" s="37" t="s">
        <v>1868</v>
      </c>
      <c r="G24" s="37" t="s">
        <v>1869</v>
      </c>
      <c r="H24" s="37"/>
      <c r="I24" s="37" t="s">
        <v>1870</v>
      </c>
      <c r="J24" s="37" t="s">
        <v>1871</v>
      </c>
      <c r="K24" s="53" t="s">
        <v>1789</v>
      </c>
      <c r="L24" s="54" t="s">
        <v>1790</v>
      </c>
      <c r="M24" s="37" t="s">
        <v>1791</v>
      </c>
      <c r="N24" s="37"/>
      <c r="O24" s="55" t="s">
        <v>1354</v>
      </c>
      <c r="P24" s="37"/>
      <c r="Q24" s="37"/>
    </row>
    <row r="25" ht="15.75" customHeight="1">
      <c r="A25" s="42" t="s">
        <v>1872</v>
      </c>
      <c r="B25" s="42" t="s">
        <v>1740</v>
      </c>
      <c r="C25" s="42" t="s">
        <v>1873</v>
      </c>
      <c r="D25" s="42" t="s">
        <v>1874</v>
      </c>
      <c r="E25" s="42" t="s">
        <v>1875</v>
      </c>
      <c r="F25" s="42" t="s">
        <v>1876</v>
      </c>
      <c r="G25" s="42" t="s">
        <v>1869</v>
      </c>
      <c r="H25" s="42"/>
      <c r="I25" s="42" t="s">
        <v>1870</v>
      </c>
      <c r="J25" s="42" t="s">
        <v>1871</v>
      </c>
      <c r="K25" s="53" t="s">
        <v>1789</v>
      </c>
      <c r="L25" s="54" t="s">
        <v>1790</v>
      </c>
      <c r="M25" s="42" t="s">
        <v>1791</v>
      </c>
      <c r="N25" s="42"/>
      <c r="O25" s="55" t="s">
        <v>1354</v>
      </c>
      <c r="P25" s="42"/>
      <c r="Q25" s="42"/>
    </row>
    <row r="26" ht="15.75" customHeight="1">
      <c r="A26" s="37" t="s">
        <v>1877</v>
      </c>
      <c r="B26" s="37" t="s">
        <v>1740</v>
      </c>
      <c r="C26" s="37" t="s">
        <v>1878</v>
      </c>
      <c r="D26" s="37" t="s">
        <v>1812</v>
      </c>
      <c r="E26" s="37" t="s">
        <v>1879</v>
      </c>
      <c r="F26" s="37" t="s">
        <v>1868</v>
      </c>
      <c r="G26" s="37" t="s">
        <v>1869</v>
      </c>
      <c r="H26" s="37"/>
      <c r="I26" s="37" t="s">
        <v>1880</v>
      </c>
      <c r="J26" s="37" t="s">
        <v>1871</v>
      </c>
      <c r="K26" s="53" t="s">
        <v>1789</v>
      </c>
      <c r="L26" s="54" t="s">
        <v>1790</v>
      </c>
      <c r="M26" s="37" t="s">
        <v>1791</v>
      </c>
      <c r="N26" s="37"/>
      <c r="O26" s="55" t="s">
        <v>1354</v>
      </c>
      <c r="P26" s="37"/>
      <c r="Q26" s="37"/>
    </row>
    <row r="27" ht="15.75" customHeight="1">
      <c r="A27" s="42" t="s">
        <v>1881</v>
      </c>
      <c r="B27" s="42" t="s">
        <v>1740</v>
      </c>
      <c r="C27" s="42" t="s">
        <v>1882</v>
      </c>
      <c r="D27" s="42" t="s">
        <v>1812</v>
      </c>
      <c r="E27" s="42" t="s">
        <v>1883</v>
      </c>
      <c r="F27" s="42" t="s">
        <v>1868</v>
      </c>
      <c r="G27" s="42" t="s">
        <v>1869</v>
      </c>
      <c r="H27" s="42"/>
      <c r="I27" s="42" t="s">
        <v>1880</v>
      </c>
      <c r="J27" s="42" t="s">
        <v>1871</v>
      </c>
      <c r="K27" s="53" t="s">
        <v>1789</v>
      </c>
      <c r="L27" s="54" t="s">
        <v>1790</v>
      </c>
      <c r="M27" s="42" t="s">
        <v>1791</v>
      </c>
      <c r="N27" s="42"/>
      <c r="O27" s="55" t="s">
        <v>1354</v>
      </c>
      <c r="P27" s="42"/>
      <c r="Q27" s="42"/>
    </row>
    <row r="28" ht="15.75" customHeight="1">
      <c r="A28" s="37" t="s">
        <v>1884</v>
      </c>
      <c r="B28" s="37" t="s">
        <v>1740</v>
      </c>
      <c r="C28" s="37" t="s">
        <v>1885</v>
      </c>
      <c r="D28" s="37" t="s">
        <v>1828</v>
      </c>
      <c r="E28" s="37" t="s">
        <v>1886</v>
      </c>
      <c r="F28" s="37" t="s">
        <v>1876</v>
      </c>
      <c r="G28" s="37" t="s">
        <v>1887</v>
      </c>
      <c r="H28" s="37"/>
      <c r="I28" s="37" t="s">
        <v>1870</v>
      </c>
      <c r="J28" s="37" t="s">
        <v>1871</v>
      </c>
      <c r="K28" s="53" t="s">
        <v>1789</v>
      </c>
      <c r="L28" s="54" t="s">
        <v>1790</v>
      </c>
      <c r="M28" s="37" t="s">
        <v>1791</v>
      </c>
      <c r="N28" s="37"/>
      <c r="O28" s="55" t="s">
        <v>1354</v>
      </c>
      <c r="P28" s="37"/>
      <c r="Q28" s="37"/>
    </row>
    <row r="29" ht="15.75" customHeight="1">
      <c r="A29" s="42" t="s">
        <v>1888</v>
      </c>
      <c r="B29" s="42" t="s">
        <v>1740</v>
      </c>
      <c r="C29" s="42" t="s">
        <v>1889</v>
      </c>
      <c r="D29" s="42" t="s">
        <v>1783</v>
      </c>
      <c r="E29" s="42" t="s">
        <v>1890</v>
      </c>
      <c r="F29" s="42" t="s">
        <v>1868</v>
      </c>
      <c r="G29" s="42" t="s">
        <v>1869</v>
      </c>
      <c r="H29" s="42"/>
      <c r="I29" s="42" t="s">
        <v>1880</v>
      </c>
      <c r="J29" s="42" t="s">
        <v>1871</v>
      </c>
      <c r="K29" s="53" t="s">
        <v>1789</v>
      </c>
      <c r="L29" s="54" t="s">
        <v>1790</v>
      </c>
      <c r="M29" s="42" t="s">
        <v>1791</v>
      </c>
      <c r="N29" s="42"/>
      <c r="O29" s="55" t="s">
        <v>1354</v>
      </c>
      <c r="P29" s="42"/>
      <c r="Q29" s="42"/>
    </row>
    <row r="30" ht="15.75" customHeight="1">
      <c r="A30" s="37" t="s">
        <v>1891</v>
      </c>
      <c r="B30" s="37" t="s">
        <v>1740</v>
      </c>
      <c r="C30" s="37" t="s">
        <v>1892</v>
      </c>
      <c r="D30" s="37" t="s">
        <v>1893</v>
      </c>
      <c r="E30" s="37" t="s">
        <v>1894</v>
      </c>
      <c r="F30" s="37" t="s">
        <v>1868</v>
      </c>
      <c r="G30" s="37" t="s">
        <v>1869</v>
      </c>
      <c r="H30" s="37"/>
      <c r="I30" s="37" t="s">
        <v>1895</v>
      </c>
      <c r="J30" s="37" t="s">
        <v>1871</v>
      </c>
      <c r="K30" s="53" t="s">
        <v>1789</v>
      </c>
      <c r="L30" s="54" t="s">
        <v>1790</v>
      </c>
      <c r="M30" s="37" t="s">
        <v>1791</v>
      </c>
      <c r="N30" s="37"/>
      <c r="O30" s="55" t="s">
        <v>1354</v>
      </c>
      <c r="P30" s="37"/>
      <c r="Q30" s="37"/>
    </row>
    <row r="31" ht="15.75" customHeight="1">
      <c r="A31" s="42" t="s">
        <v>1896</v>
      </c>
      <c r="B31" s="42" t="s">
        <v>1740</v>
      </c>
      <c r="C31" s="42" t="s">
        <v>1897</v>
      </c>
      <c r="D31" s="42" t="s">
        <v>1828</v>
      </c>
      <c r="E31" s="42" t="s">
        <v>1894</v>
      </c>
      <c r="F31" s="42" t="s">
        <v>1898</v>
      </c>
      <c r="G31" s="42" t="s">
        <v>1869</v>
      </c>
      <c r="H31" s="42"/>
      <c r="I31" s="42" t="s">
        <v>1895</v>
      </c>
      <c r="J31" s="42" t="s">
        <v>1871</v>
      </c>
      <c r="K31" s="53" t="s">
        <v>1789</v>
      </c>
      <c r="L31" s="54" t="s">
        <v>1790</v>
      </c>
      <c r="M31" s="42" t="s">
        <v>1791</v>
      </c>
      <c r="N31" s="42"/>
      <c r="O31" s="55" t="s">
        <v>1354</v>
      </c>
      <c r="P31" s="42"/>
      <c r="Q31" s="42"/>
    </row>
    <row r="32" ht="15.75" customHeight="1">
      <c r="A32" s="37" t="s">
        <v>1899</v>
      </c>
      <c r="B32" s="37" t="s">
        <v>1740</v>
      </c>
      <c r="C32" s="37" t="s">
        <v>1900</v>
      </c>
      <c r="D32" s="37" t="s">
        <v>1783</v>
      </c>
      <c r="E32" s="37" t="s">
        <v>1901</v>
      </c>
      <c r="F32" s="37" t="s">
        <v>1868</v>
      </c>
      <c r="G32" s="37" t="s">
        <v>1869</v>
      </c>
      <c r="H32" s="37"/>
      <c r="I32" s="37" t="s">
        <v>1895</v>
      </c>
      <c r="J32" s="37" t="s">
        <v>1871</v>
      </c>
      <c r="K32" s="53" t="s">
        <v>1789</v>
      </c>
      <c r="L32" s="54" t="s">
        <v>1790</v>
      </c>
      <c r="M32" s="37" t="s">
        <v>1791</v>
      </c>
      <c r="N32" s="37"/>
      <c r="O32" s="55" t="s">
        <v>1354</v>
      </c>
      <c r="P32" s="37"/>
      <c r="Q32" s="37"/>
    </row>
    <row r="33" ht="15.75" customHeight="1">
      <c r="A33" s="42" t="s">
        <v>1902</v>
      </c>
      <c r="B33" s="42" t="s">
        <v>1740</v>
      </c>
      <c r="C33" s="42" t="s">
        <v>1903</v>
      </c>
      <c r="D33" s="42" t="s">
        <v>1783</v>
      </c>
      <c r="E33" s="42" t="s">
        <v>1904</v>
      </c>
      <c r="F33" s="42" t="s">
        <v>1868</v>
      </c>
      <c r="G33" s="42" t="s">
        <v>1869</v>
      </c>
      <c r="H33" s="42"/>
      <c r="I33" s="42" t="s">
        <v>1895</v>
      </c>
      <c r="J33" s="42" t="s">
        <v>1871</v>
      </c>
      <c r="K33" s="53" t="s">
        <v>1789</v>
      </c>
      <c r="L33" s="54" t="s">
        <v>1790</v>
      </c>
      <c r="M33" s="42" t="s">
        <v>1791</v>
      </c>
      <c r="N33" s="42"/>
      <c r="O33" s="55" t="s">
        <v>1354</v>
      </c>
      <c r="P33" s="42"/>
      <c r="Q33" s="42"/>
    </row>
    <row r="34" ht="15.75" customHeight="1">
      <c r="A34" s="37" t="s">
        <v>1905</v>
      </c>
      <c r="B34" s="37" t="s">
        <v>1740</v>
      </c>
      <c r="C34" s="37" t="s">
        <v>1906</v>
      </c>
      <c r="D34" s="37" t="s">
        <v>1783</v>
      </c>
      <c r="E34" s="37" t="s">
        <v>1907</v>
      </c>
      <c r="F34" s="37" t="s">
        <v>1868</v>
      </c>
      <c r="G34" s="37" t="s">
        <v>1869</v>
      </c>
      <c r="H34" s="37"/>
      <c r="I34" s="37" t="s">
        <v>1895</v>
      </c>
      <c r="J34" s="37" t="s">
        <v>1871</v>
      </c>
      <c r="K34" s="53" t="s">
        <v>1789</v>
      </c>
      <c r="L34" s="54" t="s">
        <v>1790</v>
      </c>
      <c r="M34" s="37" t="s">
        <v>1791</v>
      </c>
      <c r="N34" s="37"/>
      <c r="O34" s="55" t="s">
        <v>1354</v>
      </c>
      <c r="P34" s="37"/>
      <c r="Q34" s="37"/>
    </row>
    <row r="35" ht="15.75" customHeight="1">
      <c r="A35" s="42" t="s">
        <v>1908</v>
      </c>
      <c r="B35" s="42" t="s">
        <v>1740</v>
      </c>
      <c r="C35" s="42" t="s">
        <v>1909</v>
      </c>
      <c r="D35" s="42" t="s">
        <v>1783</v>
      </c>
      <c r="E35" s="42" t="s">
        <v>1910</v>
      </c>
      <c r="F35" s="42" t="s">
        <v>1868</v>
      </c>
      <c r="G35" s="42" t="s">
        <v>1869</v>
      </c>
      <c r="H35" s="42"/>
      <c r="I35" s="42" t="s">
        <v>1895</v>
      </c>
      <c r="J35" s="42" t="s">
        <v>1871</v>
      </c>
      <c r="K35" s="53" t="s">
        <v>1789</v>
      </c>
      <c r="L35" s="54" t="s">
        <v>1790</v>
      </c>
      <c r="M35" s="42" t="s">
        <v>1791</v>
      </c>
      <c r="N35" s="42"/>
      <c r="O35" s="55" t="s">
        <v>1354</v>
      </c>
      <c r="P35" s="42"/>
      <c r="Q35" s="42"/>
    </row>
    <row r="36" ht="15.75" customHeight="1">
      <c r="A36" s="37" t="s">
        <v>1911</v>
      </c>
      <c r="B36" s="37" t="s">
        <v>1740</v>
      </c>
      <c r="C36" s="37" t="s">
        <v>1912</v>
      </c>
      <c r="D36" s="37" t="s">
        <v>1783</v>
      </c>
      <c r="E36" s="37" t="s">
        <v>1913</v>
      </c>
      <c r="F36" s="37" t="s">
        <v>1868</v>
      </c>
      <c r="G36" s="37" t="s">
        <v>1869</v>
      </c>
      <c r="H36" s="37"/>
      <c r="I36" s="37" t="s">
        <v>1895</v>
      </c>
      <c r="J36" s="37" t="s">
        <v>1871</v>
      </c>
      <c r="K36" s="53" t="s">
        <v>1789</v>
      </c>
      <c r="L36" s="54" t="s">
        <v>1790</v>
      </c>
      <c r="M36" s="37" t="s">
        <v>1791</v>
      </c>
      <c r="N36" s="37"/>
      <c r="O36" s="55" t="s">
        <v>1354</v>
      </c>
      <c r="P36" s="37"/>
      <c r="Q36" s="37"/>
    </row>
    <row r="37" ht="15.75" customHeight="1">
      <c r="A37" s="42" t="s">
        <v>1914</v>
      </c>
      <c r="B37" s="42" t="s">
        <v>1740</v>
      </c>
      <c r="C37" s="42" t="s">
        <v>1915</v>
      </c>
      <c r="D37" s="42" t="s">
        <v>1828</v>
      </c>
      <c r="E37" s="42" t="s">
        <v>1916</v>
      </c>
      <c r="F37" s="42" t="s">
        <v>1868</v>
      </c>
      <c r="G37" s="42" t="s">
        <v>1869</v>
      </c>
      <c r="H37" s="42"/>
      <c r="I37" s="42" t="s">
        <v>1917</v>
      </c>
      <c r="J37" s="42" t="s">
        <v>1871</v>
      </c>
      <c r="K37" s="53" t="s">
        <v>1789</v>
      </c>
      <c r="L37" s="54" t="s">
        <v>1790</v>
      </c>
      <c r="M37" s="42" t="s">
        <v>1791</v>
      </c>
      <c r="N37" s="42"/>
      <c r="O37" s="55" t="s">
        <v>1354</v>
      </c>
      <c r="P37" s="42"/>
      <c r="Q37" s="42"/>
    </row>
    <row r="38" ht="15.75" customHeight="1">
      <c r="A38" s="37" t="s">
        <v>1918</v>
      </c>
      <c r="B38" s="37" t="s">
        <v>1740</v>
      </c>
      <c r="C38" s="37" t="s">
        <v>1919</v>
      </c>
      <c r="D38" s="37" t="s">
        <v>1828</v>
      </c>
      <c r="E38" s="37" t="s">
        <v>1920</v>
      </c>
      <c r="F38" s="37" t="s">
        <v>1868</v>
      </c>
      <c r="G38" s="37" t="s">
        <v>1869</v>
      </c>
      <c r="H38" s="37"/>
      <c r="I38" s="37" t="s">
        <v>1917</v>
      </c>
      <c r="J38" s="37" t="s">
        <v>1871</v>
      </c>
      <c r="K38" s="53" t="s">
        <v>1789</v>
      </c>
      <c r="L38" s="54" t="s">
        <v>1790</v>
      </c>
      <c r="M38" s="37" t="s">
        <v>1791</v>
      </c>
      <c r="N38" s="37"/>
      <c r="O38" s="55" t="s">
        <v>1354</v>
      </c>
      <c r="P38" s="37"/>
      <c r="Q38" s="37"/>
    </row>
    <row r="39" ht="15.75" customHeight="1">
      <c r="A39" s="42" t="s">
        <v>1921</v>
      </c>
      <c r="B39" s="42" t="s">
        <v>1922</v>
      </c>
      <c r="C39" s="42" t="s">
        <v>1923</v>
      </c>
      <c r="D39" s="42" t="s">
        <v>1783</v>
      </c>
      <c r="E39" s="42" t="s">
        <v>1924</v>
      </c>
      <c r="F39" s="42" t="s">
        <v>1925</v>
      </c>
      <c r="G39" s="42" t="s">
        <v>1926</v>
      </c>
      <c r="H39" s="42"/>
      <c r="I39" s="42" t="s">
        <v>1927</v>
      </c>
      <c r="J39" s="42" t="s">
        <v>1928</v>
      </c>
      <c r="K39" s="38" t="s">
        <v>1929</v>
      </c>
      <c r="L39" s="54" t="s">
        <v>1790</v>
      </c>
      <c r="M39" s="42" t="s">
        <v>1791</v>
      </c>
      <c r="N39" s="42"/>
      <c r="O39" s="55" t="s">
        <v>1354</v>
      </c>
      <c r="P39" s="42"/>
      <c r="Q39" s="42"/>
    </row>
    <row r="40" ht="15.75" customHeight="1">
      <c r="A40" s="37" t="s">
        <v>1930</v>
      </c>
      <c r="B40" s="37" t="s">
        <v>1922</v>
      </c>
      <c r="C40" s="37" t="s">
        <v>1931</v>
      </c>
      <c r="D40" s="37" t="s">
        <v>1828</v>
      </c>
      <c r="E40" s="37" t="s">
        <v>1932</v>
      </c>
      <c r="F40" s="37" t="s">
        <v>1933</v>
      </c>
      <c r="G40" s="37" t="s">
        <v>1934</v>
      </c>
      <c r="H40" s="37"/>
      <c r="I40" s="37" t="s">
        <v>1927</v>
      </c>
      <c r="J40" s="37" t="s">
        <v>1928</v>
      </c>
      <c r="K40" s="53" t="s">
        <v>1789</v>
      </c>
      <c r="L40" s="54" t="s">
        <v>1790</v>
      </c>
      <c r="M40" s="37" t="s">
        <v>1791</v>
      </c>
      <c r="N40" s="37"/>
      <c r="O40" s="55" t="s">
        <v>1354</v>
      </c>
      <c r="P40" s="37"/>
      <c r="Q40" s="37"/>
    </row>
    <row r="41" ht="15.75" customHeight="1">
      <c r="A41" s="42" t="s">
        <v>1935</v>
      </c>
      <c r="B41" s="42" t="s">
        <v>1922</v>
      </c>
      <c r="C41" s="42" t="s">
        <v>1936</v>
      </c>
      <c r="D41" s="42" t="s">
        <v>1828</v>
      </c>
      <c r="E41" s="42" t="s">
        <v>1937</v>
      </c>
      <c r="F41" s="42" t="s">
        <v>1938</v>
      </c>
      <c r="G41" s="42" t="s">
        <v>1939</v>
      </c>
      <c r="H41" s="42"/>
      <c r="I41" s="42" t="s">
        <v>1927</v>
      </c>
      <c r="J41" s="42" t="s">
        <v>1928</v>
      </c>
      <c r="K41" s="53" t="s">
        <v>1789</v>
      </c>
      <c r="L41" s="54" t="s">
        <v>1790</v>
      </c>
      <c r="M41" s="42" t="s">
        <v>1791</v>
      </c>
      <c r="N41" s="42"/>
      <c r="O41" s="55" t="s">
        <v>1354</v>
      </c>
      <c r="P41" s="42"/>
      <c r="Q41" s="42"/>
    </row>
    <row r="42" ht="15.75" customHeight="1">
      <c r="A42" s="37" t="s">
        <v>1940</v>
      </c>
      <c r="B42" s="37" t="s">
        <v>1922</v>
      </c>
      <c r="C42" s="37" t="s">
        <v>1941</v>
      </c>
      <c r="D42" s="37" t="s">
        <v>1783</v>
      </c>
      <c r="E42" s="37" t="s">
        <v>1942</v>
      </c>
      <c r="F42" s="37" t="s">
        <v>1925</v>
      </c>
      <c r="G42" s="37" t="s">
        <v>1926</v>
      </c>
      <c r="H42" s="37"/>
      <c r="I42" s="37" t="s">
        <v>1927</v>
      </c>
      <c r="J42" s="37" t="s">
        <v>1928</v>
      </c>
      <c r="K42" s="53" t="s">
        <v>1789</v>
      </c>
      <c r="L42" s="54" t="s">
        <v>1790</v>
      </c>
      <c r="M42" s="37" t="s">
        <v>1791</v>
      </c>
      <c r="N42" s="37"/>
      <c r="O42" s="55" t="s">
        <v>1354</v>
      </c>
      <c r="P42" s="37"/>
      <c r="Q42" s="37"/>
    </row>
    <row r="43" ht="15.75" customHeight="1">
      <c r="A43" s="42" t="s">
        <v>1943</v>
      </c>
      <c r="B43" s="42" t="s">
        <v>1922</v>
      </c>
      <c r="C43" s="42" t="s">
        <v>1944</v>
      </c>
      <c r="D43" s="42" t="s">
        <v>1828</v>
      </c>
      <c r="E43" s="42" t="s">
        <v>1945</v>
      </c>
      <c r="F43" s="42" t="s">
        <v>1946</v>
      </c>
      <c r="G43" s="42" t="s">
        <v>1939</v>
      </c>
      <c r="H43" s="42"/>
      <c r="I43" s="42" t="s">
        <v>1927</v>
      </c>
      <c r="J43" s="42" t="s">
        <v>1928</v>
      </c>
      <c r="K43" s="53" t="s">
        <v>1789</v>
      </c>
      <c r="L43" s="54" t="s">
        <v>1790</v>
      </c>
      <c r="M43" s="42" t="s">
        <v>1791</v>
      </c>
      <c r="N43" s="42"/>
      <c r="O43" s="55" t="s">
        <v>1354</v>
      </c>
      <c r="P43" s="42"/>
      <c r="Q43" s="42"/>
    </row>
    <row r="44" ht="15.75" customHeight="1">
      <c r="A44" s="37" t="s">
        <v>1947</v>
      </c>
      <c r="B44" s="37" t="s">
        <v>1922</v>
      </c>
      <c r="C44" s="37" t="s">
        <v>1948</v>
      </c>
      <c r="D44" s="37" t="s">
        <v>1828</v>
      </c>
      <c r="E44" s="37" t="s">
        <v>1949</v>
      </c>
      <c r="F44" s="37" t="s">
        <v>1950</v>
      </c>
      <c r="G44" s="37" t="s">
        <v>1939</v>
      </c>
      <c r="H44" s="37"/>
      <c r="I44" s="37" t="s">
        <v>1927</v>
      </c>
      <c r="J44" s="37" t="s">
        <v>1928</v>
      </c>
      <c r="K44" s="53" t="s">
        <v>1789</v>
      </c>
      <c r="L44" s="54" t="s">
        <v>1790</v>
      </c>
      <c r="M44" s="37" t="s">
        <v>1791</v>
      </c>
      <c r="N44" s="37"/>
      <c r="O44" s="55" t="s">
        <v>1354</v>
      </c>
      <c r="P44" s="37"/>
      <c r="Q44" s="37"/>
    </row>
    <row r="45" ht="15.75" customHeight="1">
      <c r="A45" s="42" t="s">
        <v>1951</v>
      </c>
      <c r="B45" s="42" t="s">
        <v>1922</v>
      </c>
      <c r="C45" s="42" t="s">
        <v>1952</v>
      </c>
      <c r="D45" s="42" t="s">
        <v>1783</v>
      </c>
      <c r="E45" s="42" t="s">
        <v>1953</v>
      </c>
      <c r="F45" s="42" t="s">
        <v>1925</v>
      </c>
      <c r="G45" s="42" t="s">
        <v>1926</v>
      </c>
      <c r="H45" s="42"/>
      <c r="I45" s="42" t="s">
        <v>1927</v>
      </c>
      <c r="J45" s="42" t="s">
        <v>1928</v>
      </c>
      <c r="K45" s="38" t="s">
        <v>1929</v>
      </c>
      <c r="L45" s="54" t="s">
        <v>1790</v>
      </c>
      <c r="M45" s="42" t="s">
        <v>1791</v>
      </c>
      <c r="N45" s="42"/>
      <c r="O45" s="55" t="s">
        <v>1354</v>
      </c>
      <c r="P45" s="42"/>
      <c r="Q45" s="42"/>
    </row>
    <row r="46" ht="15.75" customHeight="1">
      <c r="A46" s="37" t="s">
        <v>1954</v>
      </c>
      <c r="B46" s="37" t="s">
        <v>1747</v>
      </c>
      <c r="C46" s="37" t="s">
        <v>1955</v>
      </c>
      <c r="D46" s="37" t="s">
        <v>1828</v>
      </c>
      <c r="E46" s="37" t="s">
        <v>1956</v>
      </c>
      <c r="F46" s="37" t="s">
        <v>1957</v>
      </c>
      <c r="G46" s="37" t="s">
        <v>1958</v>
      </c>
      <c r="H46" s="37"/>
      <c r="I46" s="37" t="s">
        <v>1959</v>
      </c>
      <c r="J46" s="37" t="s">
        <v>1960</v>
      </c>
      <c r="K46" s="53" t="s">
        <v>1789</v>
      </c>
      <c r="L46" s="54" t="s">
        <v>1790</v>
      </c>
      <c r="M46" s="37" t="s">
        <v>1791</v>
      </c>
      <c r="N46" s="37"/>
      <c r="O46" s="55" t="s">
        <v>1354</v>
      </c>
      <c r="P46" s="37"/>
      <c r="Q46" s="37"/>
    </row>
    <row r="47" ht="15.75" customHeight="1">
      <c r="A47" s="42" t="s">
        <v>1961</v>
      </c>
      <c r="B47" s="42" t="s">
        <v>1747</v>
      </c>
      <c r="C47" s="42" t="s">
        <v>1962</v>
      </c>
      <c r="D47" s="42" t="s">
        <v>1783</v>
      </c>
      <c r="E47" s="42" t="s">
        <v>1963</v>
      </c>
      <c r="F47" s="42" t="s">
        <v>1785</v>
      </c>
      <c r="G47" s="42" t="s">
        <v>1964</v>
      </c>
      <c r="H47" s="42"/>
      <c r="I47" s="42" t="s">
        <v>1959</v>
      </c>
      <c r="J47" s="42" t="s">
        <v>1960</v>
      </c>
      <c r="K47" s="53" t="s">
        <v>1789</v>
      </c>
      <c r="L47" s="54" t="s">
        <v>1790</v>
      </c>
      <c r="M47" s="42" t="s">
        <v>1791</v>
      </c>
      <c r="N47" s="42"/>
      <c r="O47" s="55" t="s">
        <v>1354</v>
      </c>
      <c r="P47" s="42"/>
      <c r="Q47" s="42"/>
    </row>
    <row r="48" ht="15.75" customHeight="1">
      <c r="A48" s="37" t="s">
        <v>1965</v>
      </c>
      <c r="B48" s="37" t="s">
        <v>1747</v>
      </c>
      <c r="C48" s="37" t="s">
        <v>1966</v>
      </c>
      <c r="D48" s="37" t="s">
        <v>1783</v>
      </c>
      <c r="E48" s="37" t="s">
        <v>1967</v>
      </c>
      <c r="F48" s="37" t="s">
        <v>1785</v>
      </c>
      <c r="G48" s="37" t="s">
        <v>1964</v>
      </c>
      <c r="H48" s="37"/>
      <c r="I48" s="37" t="s">
        <v>1959</v>
      </c>
      <c r="J48" s="37" t="s">
        <v>1960</v>
      </c>
      <c r="K48" s="53" t="s">
        <v>1789</v>
      </c>
      <c r="L48" s="54" t="s">
        <v>1790</v>
      </c>
      <c r="M48" s="37" t="s">
        <v>1791</v>
      </c>
      <c r="N48" s="37"/>
      <c r="O48" s="55" t="s">
        <v>1354</v>
      </c>
      <c r="P48" s="37"/>
      <c r="Q48" s="37"/>
    </row>
    <row r="49" ht="15.75" customHeight="1">
      <c r="A49" s="42" t="s">
        <v>1968</v>
      </c>
      <c r="B49" s="42" t="s">
        <v>1747</v>
      </c>
      <c r="C49" s="42" t="s">
        <v>1969</v>
      </c>
      <c r="D49" s="42" t="s">
        <v>1783</v>
      </c>
      <c r="E49" s="42" t="s">
        <v>1970</v>
      </c>
      <c r="F49" s="42" t="s">
        <v>1785</v>
      </c>
      <c r="G49" s="42" t="s">
        <v>1964</v>
      </c>
      <c r="H49" s="42"/>
      <c r="I49" s="42" t="s">
        <v>1959</v>
      </c>
      <c r="J49" s="42" t="s">
        <v>1960</v>
      </c>
      <c r="K49" s="53" t="s">
        <v>1789</v>
      </c>
      <c r="L49" s="54" t="s">
        <v>1790</v>
      </c>
      <c r="M49" s="42" t="s">
        <v>1791</v>
      </c>
      <c r="N49" s="42"/>
      <c r="O49" s="55" t="s">
        <v>1354</v>
      </c>
      <c r="P49" s="42"/>
      <c r="Q49" s="42"/>
    </row>
    <row r="50" ht="15.75" customHeight="1">
      <c r="A50" s="37" t="s">
        <v>1971</v>
      </c>
      <c r="B50" s="37" t="s">
        <v>1747</v>
      </c>
      <c r="C50" s="37" t="s">
        <v>1972</v>
      </c>
      <c r="D50" s="37" t="s">
        <v>1783</v>
      </c>
      <c r="E50" s="37" t="s">
        <v>1973</v>
      </c>
      <c r="F50" s="37" t="s">
        <v>1785</v>
      </c>
      <c r="G50" s="37" t="s">
        <v>1964</v>
      </c>
      <c r="H50" s="37"/>
      <c r="I50" s="37" t="s">
        <v>1959</v>
      </c>
      <c r="J50" s="37" t="s">
        <v>1960</v>
      </c>
      <c r="K50" s="53" t="s">
        <v>1789</v>
      </c>
      <c r="L50" s="54" t="s">
        <v>1790</v>
      </c>
      <c r="M50" s="37" t="s">
        <v>1791</v>
      </c>
      <c r="N50" s="37"/>
      <c r="O50" s="55" t="s">
        <v>1354</v>
      </c>
      <c r="P50" s="37"/>
      <c r="Q50" s="37"/>
    </row>
    <row r="51" ht="15.75" customHeight="1">
      <c r="A51" s="42" t="s">
        <v>1974</v>
      </c>
      <c r="B51" s="42" t="s">
        <v>1747</v>
      </c>
      <c r="C51" s="42" t="s">
        <v>1975</v>
      </c>
      <c r="D51" s="42" t="s">
        <v>1783</v>
      </c>
      <c r="E51" s="42" t="s">
        <v>1976</v>
      </c>
      <c r="F51" s="42" t="s">
        <v>1785</v>
      </c>
      <c r="G51" s="42" t="s">
        <v>1964</v>
      </c>
      <c r="H51" s="42"/>
      <c r="I51" s="42" t="s">
        <v>1959</v>
      </c>
      <c r="J51" s="42" t="s">
        <v>1960</v>
      </c>
      <c r="K51" s="53" t="s">
        <v>1789</v>
      </c>
      <c r="L51" s="54" t="s">
        <v>1790</v>
      </c>
      <c r="M51" s="42" t="s">
        <v>1791</v>
      </c>
      <c r="N51" s="42"/>
      <c r="O51" s="55" t="s">
        <v>1354</v>
      </c>
      <c r="P51" s="42"/>
      <c r="Q51" s="42"/>
    </row>
    <row r="52" ht="15.75" customHeight="1">
      <c r="A52" s="37" t="s">
        <v>1977</v>
      </c>
      <c r="B52" s="37" t="s">
        <v>1747</v>
      </c>
      <c r="C52" s="37" t="s">
        <v>1978</v>
      </c>
      <c r="D52" s="37" t="s">
        <v>1812</v>
      </c>
      <c r="E52" s="37" t="s">
        <v>1976</v>
      </c>
      <c r="F52" s="37" t="s">
        <v>1785</v>
      </c>
      <c r="G52" s="37" t="s">
        <v>1964</v>
      </c>
      <c r="H52" s="37"/>
      <c r="I52" s="37" t="s">
        <v>1959</v>
      </c>
      <c r="J52" s="37" t="s">
        <v>1960</v>
      </c>
      <c r="K52" s="53" t="s">
        <v>1789</v>
      </c>
      <c r="L52" s="54" t="s">
        <v>1790</v>
      </c>
      <c r="M52" s="37" t="s">
        <v>1791</v>
      </c>
      <c r="N52" s="37"/>
      <c r="O52" s="55" t="s">
        <v>1354</v>
      </c>
      <c r="P52" s="37"/>
      <c r="Q52" s="37"/>
    </row>
    <row r="53" ht="15.75" customHeight="1">
      <c r="A53" s="42" t="s">
        <v>1979</v>
      </c>
      <c r="B53" s="42" t="s">
        <v>1747</v>
      </c>
      <c r="C53" s="42" t="s">
        <v>1980</v>
      </c>
      <c r="D53" s="42" t="s">
        <v>1812</v>
      </c>
      <c r="E53" s="42" t="s">
        <v>1981</v>
      </c>
      <c r="F53" s="42" t="s">
        <v>1785</v>
      </c>
      <c r="G53" s="42" t="s">
        <v>1964</v>
      </c>
      <c r="H53" s="42"/>
      <c r="I53" s="42" t="s">
        <v>1959</v>
      </c>
      <c r="J53" s="42" t="s">
        <v>1960</v>
      </c>
      <c r="K53" s="53" t="s">
        <v>1789</v>
      </c>
      <c r="L53" s="54" t="s">
        <v>1790</v>
      </c>
      <c r="M53" s="42" t="s">
        <v>1791</v>
      </c>
      <c r="N53" s="42"/>
      <c r="O53" s="55" t="s">
        <v>1354</v>
      </c>
      <c r="P53" s="42"/>
      <c r="Q53" s="42"/>
    </row>
    <row r="54" ht="15.75" customHeight="1">
      <c r="A54" s="37" t="s">
        <v>1982</v>
      </c>
      <c r="B54" s="37" t="s">
        <v>1747</v>
      </c>
      <c r="C54" s="37" t="s">
        <v>1983</v>
      </c>
      <c r="D54" s="37" t="s">
        <v>1812</v>
      </c>
      <c r="E54" s="37" t="s">
        <v>1984</v>
      </c>
      <c r="F54" s="37" t="s">
        <v>1785</v>
      </c>
      <c r="G54" s="37" t="s">
        <v>1964</v>
      </c>
      <c r="H54" s="37"/>
      <c r="I54" s="37" t="s">
        <v>1959</v>
      </c>
      <c r="J54" s="37" t="s">
        <v>1960</v>
      </c>
      <c r="K54" s="53" t="s">
        <v>1789</v>
      </c>
      <c r="L54" s="54" t="s">
        <v>1790</v>
      </c>
      <c r="M54" s="37" t="s">
        <v>1791</v>
      </c>
      <c r="N54" s="37"/>
      <c r="O54" s="55" t="s">
        <v>1354</v>
      </c>
      <c r="P54" s="37"/>
      <c r="Q54" s="37"/>
    </row>
    <row r="55" ht="15.75" customHeight="1">
      <c r="A55" s="42" t="s">
        <v>1985</v>
      </c>
      <c r="B55" s="42" t="s">
        <v>1747</v>
      </c>
      <c r="C55" s="42" t="s">
        <v>1986</v>
      </c>
      <c r="D55" s="42" t="s">
        <v>1783</v>
      </c>
      <c r="E55" s="42" t="s">
        <v>1987</v>
      </c>
      <c r="F55" s="42" t="s">
        <v>1785</v>
      </c>
      <c r="G55" s="42" t="s">
        <v>1964</v>
      </c>
      <c r="H55" s="42"/>
      <c r="I55" s="42" t="s">
        <v>1959</v>
      </c>
      <c r="J55" s="42" t="s">
        <v>1960</v>
      </c>
      <c r="K55" s="38" t="s">
        <v>1929</v>
      </c>
      <c r="L55" s="54" t="s">
        <v>1790</v>
      </c>
      <c r="M55" s="42" t="s">
        <v>1791</v>
      </c>
      <c r="N55" s="42"/>
      <c r="O55" s="55" t="s">
        <v>1354</v>
      </c>
      <c r="P55" s="42"/>
      <c r="Q55" s="42"/>
    </row>
    <row r="56" ht="15.75" customHeight="1">
      <c r="A56" s="37" t="s">
        <v>1988</v>
      </c>
      <c r="B56" s="37" t="s">
        <v>1747</v>
      </c>
      <c r="C56" s="37" t="s">
        <v>1989</v>
      </c>
      <c r="D56" s="37" t="s">
        <v>1783</v>
      </c>
      <c r="E56" s="37" t="s">
        <v>1990</v>
      </c>
      <c r="F56" s="37" t="s">
        <v>1785</v>
      </c>
      <c r="G56" s="37" t="s">
        <v>1964</v>
      </c>
      <c r="H56" s="37"/>
      <c r="I56" s="37" t="s">
        <v>1959</v>
      </c>
      <c r="J56" s="37" t="s">
        <v>1960</v>
      </c>
      <c r="K56" s="38" t="s">
        <v>1929</v>
      </c>
      <c r="L56" s="54" t="s">
        <v>1790</v>
      </c>
      <c r="M56" s="37" t="s">
        <v>1791</v>
      </c>
      <c r="N56" s="37"/>
      <c r="O56" s="55" t="s">
        <v>1354</v>
      </c>
      <c r="P56" s="37"/>
      <c r="Q56" s="37"/>
    </row>
    <row r="57" ht="15.75" customHeight="1">
      <c r="A57" s="42" t="s">
        <v>1991</v>
      </c>
      <c r="B57" s="42" t="s">
        <v>1747</v>
      </c>
      <c r="C57" s="42" t="s">
        <v>1992</v>
      </c>
      <c r="D57" s="42" t="s">
        <v>1828</v>
      </c>
      <c r="E57" s="42" t="s">
        <v>1993</v>
      </c>
      <c r="F57" s="42" t="s">
        <v>1994</v>
      </c>
      <c r="G57" s="42" t="s">
        <v>1964</v>
      </c>
      <c r="H57" s="42"/>
      <c r="I57" s="42" t="s">
        <v>1959</v>
      </c>
      <c r="J57" s="42" t="s">
        <v>1960</v>
      </c>
      <c r="K57" s="53" t="s">
        <v>1789</v>
      </c>
      <c r="L57" s="54" t="s">
        <v>1790</v>
      </c>
      <c r="M57" s="42" t="s">
        <v>1791</v>
      </c>
      <c r="N57" s="42"/>
      <c r="O57" s="55" t="s">
        <v>1354</v>
      </c>
      <c r="P57" s="42"/>
      <c r="Q57" s="42"/>
    </row>
    <row r="58" ht="15.75" customHeight="1">
      <c r="A58" s="37" t="s">
        <v>1995</v>
      </c>
      <c r="B58" s="37" t="s">
        <v>1747</v>
      </c>
      <c r="C58" s="37" t="s">
        <v>1996</v>
      </c>
      <c r="D58" s="37" t="s">
        <v>1812</v>
      </c>
      <c r="E58" s="37" t="s">
        <v>1997</v>
      </c>
      <c r="F58" s="37" t="s">
        <v>1785</v>
      </c>
      <c r="G58" s="37" t="s">
        <v>1964</v>
      </c>
      <c r="H58" s="37"/>
      <c r="I58" s="37" t="s">
        <v>1959</v>
      </c>
      <c r="J58" s="37" t="s">
        <v>1960</v>
      </c>
      <c r="K58" s="53" t="s">
        <v>1789</v>
      </c>
      <c r="L58" s="54" t="s">
        <v>1790</v>
      </c>
      <c r="M58" s="37" t="s">
        <v>1791</v>
      </c>
      <c r="N58" s="37"/>
      <c r="O58" s="55" t="s">
        <v>1354</v>
      </c>
      <c r="P58" s="37"/>
      <c r="Q58" s="37"/>
    </row>
    <row r="59" ht="15.75" customHeight="1">
      <c r="A59" s="42" t="s">
        <v>1998</v>
      </c>
      <c r="B59" s="42" t="s">
        <v>1747</v>
      </c>
      <c r="C59" s="42" t="s">
        <v>1999</v>
      </c>
      <c r="D59" s="42" t="s">
        <v>1812</v>
      </c>
      <c r="E59" s="42" t="s">
        <v>2000</v>
      </c>
      <c r="F59" s="42" t="s">
        <v>1785</v>
      </c>
      <c r="G59" s="42" t="s">
        <v>1964</v>
      </c>
      <c r="H59" s="42"/>
      <c r="I59" s="42" t="s">
        <v>1959</v>
      </c>
      <c r="J59" s="42" t="s">
        <v>1960</v>
      </c>
      <c r="K59" s="53" t="s">
        <v>1789</v>
      </c>
      <c r="L59" s="54" t="s">
        <v>1790</v>
      </c>
      <c r="M59" s="42" t="s">
        <v>1791</v>
      </c>
      <c r="N59" s="42"/>
      <c r="O59" s="55" t="s">
        <v>1354</v>
      </c>
      <c r="P59" s="42"/>
      <c r="Q59" s="42"/>
    </row>
    <row r="60" ht="15.75" customHeight="1">
      <c r="A60" s="37" t="s">
        <v>2001</v>
      </c>
      <c r="B60" s="37" t="s">
        <v>1747</v>
      </c>
      <c r="C60" s="37" t="s">
        <v>2002</v>
      </c>
      <c r="D60" s="37" t="s">
        <v>1783</v>
      </c>
      <c r="E60" s="37" t="s">
        <v>2003</v>
      </c>
      <c r="F60" s="37" t="s">
        <v>1785</v>
      </c>
      <c r="G60" s="37" t="s">
        <v>1964</v>
      </c>
      <c r="H60" s="37"/>
      <c r="I60" s="37" t="s">
        <v>1959</v>
      </c>
      <c r="J60" s="37" t="s">
        <v>1960</v>
      </c>
      <c r="K60" s="53" t="s">
        <v>1789</v>
      </c>
      <c r="L60" s="54" t="s">
        <v>1790</v>
      </c>
      <c r="M60" s="37" t="s">
        <v>1791</v>
      </c>
      <c r="N60" s="37"/>
      <c r="O60" s="55" t="s">
        <v>1354</v>
      </c>
      <c r="P60" s="37"/>
      <c r="Q60" s="37"/>
    </row>
    <row r="61" ht="15.75" customHeight="1">
      <c r="A61" s="42" t="s">
        <v>2004</v>
      </c>
      <c r="B61" s="42" t="s">
        <v>1747</v>
      </c>
      <c r="C61" s="42" t="s">
        <v>2005</v>
      </c>
      <c r="D61" s="42" t="s">
        <v>1812</v>
      </c>
      <c r="E61" s="42" t="s">
        <v>2003</v>
      </c>
      <c r="F61" s="42" t="s">
        <v>1785</v>
      </c>
      <c r="G61" s="42" t="s">
        <v>1964</v>
      </c>
      <c r="H61" s="42"/>
      <c r="I61" s="42" t="s">
        <v>1959</v>
      </c>
      <c r="J61" s="42" t="s">
        <v>1960</v>
      </c>
      <c r="K61" s="53" t="s">
        <v>1789</v>
      </c>
      <c r="L61" s="54" t="s">
        <v>1790</v>
      </c>
      <c r="M61" s="42" t="s">
        <v>1791</v>
      </c>
      <c r="N61" s="42"/>
      <c r="O61" s="55" t="s">
        <v>1354</v>
      </c>
      <c r="P61" s="42"/>
      <c r="Q61" s="42"/>
    </row>
    <row r="62" ht="15.75" customHeight="1">
      <c r="A62" s="37" t="s">
        <v>2006</v>
      </c>
      <c r="B62" s="37" t="s">
        <v>1747</v>
      </c>
      <c r="C62" s="37" t="s">
        <v>2007</v>
      </c>
      <c r="D62" s="37" t="s">
        <v>1783</v>
      </c>
      <c r="E62" s="37" t="s">
        <v>2008</v>
      </c>
      <c r="F62" s="37" t="s">
        <v>2009</v>
      </c>
      <c r="G62" s="37" t="s">
        <v>1964</v>
      </c>
      <c r="H62" s="37"/>
      <c r="I62" s="37" t="s">
        <v>1959</v>
      </c>
      <c r="J62" s="37" t="s">
        <v>1960</v>
      </c>
      <c r="K62" s="53" t="s">
        <v>1789</v>
      </c>
      <c r="L62" s="54" t="s">
        <v>1790</v>
      </c>
      <c r="M62" s="37" t="s">
        <v>1791</v>
      </c>
      <c r="N62" s="37"/>
      <c r="O62" s="55" t="s">
        <v>1354</v>
      </c>
      <c r="P62" s="37"/>
      <c r="Q62" s="37"/>
    </row>
    <row r="63" ht="15.75" customHeight="1">
      <c r="A63" s="42" t="s">
        <v>2010</v>
      </c>
      <c r="B63" s="42" t="s">
        <v>1747</v>
      </c>
      <c r="C63" s="42" t="s">
        <v>2011</v>
      </c>
      <c r="D63" s="42" t="s">
        <v>1783</v>
      </c>
      <c r="E63" s="42" t="s">
        <v>2012</v>
      </c>
      <c r="F63" s="42" t="s">
        <v>2009</v>
      </c>
      <c r="G63" s="42" t="s">
        <v>1964</v>
      </c>
      <c r="H63" s="42"/>
      <c r="I63" s="42" t="s">
        <v>1959</v>
      </c>
      <c r="J63" s="42" t="s">
        <v>1960</v>
      </c>
      <c r="K63" s="53" t="s">
        <v>1789</v>
      </c>
      <c r="L63" s="54" t="s">
        <v>1790</v>
      </c>
      <c r="M63" s="42" t="s">
        <v>1791</v>
      </c>
      <c r="N63" s="42"/>
      <c r="O63" s="55" t="s">
        <v>1354</v>
      </c>
      <c r="P63" s="42"/>
      <c r="Q63" s="42"/>
    </row>
    <row r="64" ht="15.75" customHeight="1">
      <c r="A64" s="37" t="s">
        <v>2013</v>
      </c>
      <c r="B64" s="37" t="s">
        <v>1747</v>
      </c>
      <c r="C64" s="37" t="s">
        <v>2014</v>
      </c>
      <c r="D64" s="37" t="s">
        <v>1783</v>
      </c>
      <c r="E64" s="37" t="s">
        <v>2015</v>
      </c>
      <c r="F64" s="37" t="s">
        <v>1785</v>
      </c>
      <c r="G64" s="37" t="s">
        <v>1964</v>
      </c>
      <c r="H64" s="37"/>
      <c r="I64" s="37" t="s">
        <v>2016</v>
      </c>
      <c r="J64" s="37" t="s">
        <v>1960</v>
      </c>
      <c r="K64" s="53" t="s">
        <v>1789</v>
      </c>
      <c r="L64" s="54" t="s">
        <v>1790</v>
      </c>
      <c r="M64" s="37" t="s">
        <v>1791</v>
      </c>
      <c r="N64" s="37"/>
      <c r="O64" s="55" t="s">
        <v>1354</v>
      </c>
      <c r="P64" s="37"/>
      <c r="Q64" s="37"/>
    </row>
    <row r="65" ht="15.75" customHeight="1">
      <c r="A65" s="42" t="s">
        <v>2017</v>
      </c>
      <c r="B65" s="42" t="s">
        <v>1747</v>
      </c>
      <c r="C65" s="42" t="s">
        <v>2018</v>
      </c>
      <c r="D65" s="42" t="s">
        <v>2019</v>
      </c>
      <c r="E65" s="42" t="s">
        <v>2020</v>
      </c>
      <c r="F65" s="42" t="s">
        <v>1785</v>
      </c>
      <c r="G65" s="42" t="s">
        <v>1964</v>
      </c>
      <c r="H65" s="42"/>
      <c r="I65" s="42" t="s">
        <v>2016</v>
      </c>
      <c r="J65" s="42" t="s">
        <v>1960</v>
      </c>
      <c r="K65" s="53" t="s">
        <v>1789</v>
      </c>
      <c r="L65" s="54" t="s">
        <v>1790</v>
      </c>
      <c r="M65" s="42" t="s">
        <v>1791</v>
      </c>
      <c r="N65" s="42"/>
      <c r="O65" s="55" t="s">
        <v>1354</v>
      </c>
      <c r="P65" s="42"/>
      <c r="Q65" s="42"/>
    </row>
    <row r="66" ht="15.75" customHeight="1">
      <c r="A66" s="37" t="s">
        <v>2021</v>
      </c>
      <c r="B66" s="37" t="s">
        <v>1747</v>
      </c>
      <c r="C66" s="37" t="s">
        <v>2022</v>
      </c>
      <c r="D66" s="37" t="s">
        <v>1783</v>
      </c>
      <c r="E66" s="37" t="s">
        <v>2023</v>
      </c>
      <c r="F66" s="37" t="s">
        <v>1785</v>
      </c>
      <c r="G66" s="37" t="s">
        <v>1964</v>
      </c>
      <c r="H66" s="37"/>
      <c r="I66" s="37" t="s">
        <v>2016</v>
      </c>
      <c r="J66" s="37" t="s">
        <v>1960</v>
      </c>
      <c r="K66" s="53" t="s">
        <v>1789</v>
      </c>
      <c r="L66" s="54" t="s">
        <v>1790</v>
      </c>
      <c r="M66" s="37" t="s">
        <v>1791</v>
      </c>
      <c r="N66" s="37"/>
      <c r="O66" s="55" t="s">
        <v>1354</v>
      </c>
      <c r="P66" s="37"/>
      <c r="Q66" s="37"/>
    </row>
    <row r="67" ht="15.75" customHeight="1">
      <c r="A67" s="42" t="s">
        <v>2024</v>
      </c>
      <c r="B67" s="42" t="s">
        <v>1747</v>
      </c>
      <c r="C67" s="42" t="s">
        <v>2025</v>
      </c>
      <c r="D67" s="42" t="s">
        <v>1783</v>
      </c>
      <c r="E67" s="42" t="s">
        <v>2026</v>
      </c>
      <c r="F67" s="42" t="s">
        <v>1785</v>
      </c>
      <c r="G67" s="42" t="s">
        <v>1964</v>
      </c>
      <c r="H67" s="42"/>
      <c r="I67" s="42" t="s">
        <v>2027</v>
      </c>
      <c r="J67" s="42" t="s">
        <v>1960</v>
      </c>
      <c r="K67" s="53" t="s">
        <v>1789</v>
      </c>
      <c r="L67" s="54" t="s">
        <v>1790</v>
      </c>
      <c r="M67" s="42" t="s">
        <v>1791</v>
      </c>
      <c r="N67" s="42"/>
      <c r="O67" s="55" t="s">
        <v>1354</v>
      </c>
      <c r="P67" s="42"/>
      <c r="Q67" s="42"/>
    </row>
    <row r="68" ht="15.75" customHeight="1">
      <c r="A68" s="37" t="s">
        <v>2028</v>
      </c>
      <c r="B68" s="37" t="s">
        <v>1747</v>
      </c>
      <c r="C68" s="37" t="s">
        <v>2029</v>
      </c>
      <c r="D68" s="37" t="s">
        <v>1828</v>
      </c>
      <c r="E68" s="37" t="s">
        <v>2030</v>
      </c>
      <c r="F68" s="37" t="s">
        <v>2031</v>
      </c>
      <c r="G68" s="37" t="s">
        <v>1958</v>
      </c>
      <c r="H68" s="37"/>
      <c r="I68" s="37" t="s">
        <v>2027</v>
      </c>
      <c r="J68" s="37" t="s">
        <v>1960</v>
      </c>
      <c r="K68" s="53" t="s">
        <v>1789</v>
      </c>
      <c r="L68" s="54" t="s">
        <v>1790</v>
      </c>
      <c r="M68" s="37" t="s">
        <v>1791</v>
      </c>
      <c r="N68" s="37"/>
      <c r="O68" s="55" t="s">
        <v>1354</v>
      </c>
      <c r="P68" s="37"/>
      <c r="Q68" s="37"/>
    </row>
    <row r="69" ht="15.75" customHeight="1">
      <c r="A69" s="42" t="s">
        <v>2032</v>
      </c>
      <c r="B69" s="42" t="s">
        <v>1747</v>
      </c>
      <c r="C69" s="42" t="s">
        <v>2033</v>
      </c>
      <c r="D69" s="42" t="s">
        <v>1828</v>
      </c>
      <c r="E69" s="42" t="s">
        <v>2034</v>
      </c>
      <c r="F69" s="42" t="s">
        <v>2035</v>
      </c>
      <c r="G69" s="42" t="s">
        <v>1958</v>
      </c>
      <c r="H69" s="42"/>
      <c r="I69" s="42" t="s">
        <v>2027</v>
      </c>
      <c r="J69" s="42" t="s">
        <v>1960</v>
      </c>
      <c r="K69" s="53" t="s">
        <v>1789</v>
      </c>
      <c r="L69" s="54" t="s">
        <v>1790</v>
      </c>
      <c r="M69" s="42" t="s">
        <v>1791</v>
      </c>
      <c r="N69" s="42"/>
      <c r="O69" s="55" t="s">
        <v>1354</v>
      </c>
      <c r="P69" s="42"/>
      <c r="Q69" s="42"/>
    </row>
    <row r="70" ht="15.75" customHeight="1">
      <c r="A70" s="37" t="s">
        <v>2036</v>
      </c>
      <c r="B70" s="37" t="s">
        <v>1747</v>
      </c>
      <c r="C70" s="37" t="s">
        <v>2037</v>
      </c>
      <c r="D70" s="37" t="s">
        <v>1783</v>
      </c>
      <c r="E70" s="37" t="s">
        <v>2038</v>
      </c>
      <c r="F70" s="37" t="s">
        <v>2009</v>
      </c>
      <c r="G70" s="37" t="s">
        <v>1964</v>
      </c>
      <c r="H70" s="37"/>
      <c r="I70" s="37" t="s">
        <v>2027</v>
      </c>
      <c r="J70" s="37" t="s">
        <v>1960</v>
      </c>
      <c r="K70" s="53" t="s">
        <v>1789</v>
      </c>
      <c r="L70" s="54" t="s">
        <v>1790</v>
      </c>
      <c r="M70" s="37" t="s">
        <v>1791</v>
      </c>
      <c r="N70" s="37"/>
      <c r="O70" s="55" t="s">
        <v>1354</v>
      </c>
      <c r="P70" s="37"/>
      <c r="Q70" s="37"/>
    </row>
    <row r="71" ht="15.75" customHeight="1">
      <c r="A71" s="42" t="s">
        <v>2039</v>
      </c>
      <c r="B71" s="42" t="s">
        <v>1747</v>
      </c>
      <c r="C71" s="42" t="s">
        <v>2040</v>
      </c>
      <c r="D71" s="42" t="s">
        <v>1783</v>
      </c>
      <c r="E71" s="42" t="s">
        <v>2041</v>
      </c>
      <c r="F71" s="42" t="s">
        <v>1785</v>
      </c>
      <c r="G71" s="42" t="s">
        <v>1964</v>
      </c>
      <c r="H71" s="42"/>
      <c r="I71" s="42" t="s">
        <v>2042</v>
      </c>
      <c r="J71" s="42" t="s">
        <v>1960</v>
      </c>
      <c r="K71" s="53" t="s">
        <v>1789</v>
      </c>
      <c r="L71" s="54" t="s">
        <v>1790</v>
      </c>
      <c r="M71" s="42" t="s">
        <v>1791</v>
      </c>
      <c r="N71" s="42"/>
      <c r="O71" s="55" t="s">
        <v>1354</v>
      </c>
      <c r="P71" s="42"/>
      <c r="Q71" s="42"/>
    </row>
    <row r="72" ht="15.75" customHeight="1">
      <c r="A72" s="37" t="s">
        <v>2043</v>
      </c>
      <c r="B72" s="37" t="s">
        <v>1747</v>
      </c>
      <c r="C72" s="37" t="s">
        <v>2044</v>
      </c>
      <c r="D72" s="37" t="s">
        <v>1828</v>
      </c>
      <c r="E72" s="37" t="s">
        <v>2045</v>
      </c>
      <c r="F72" s="37" t="s">
        <v>2046</v>
      </c>
      <c r="G72" s="37" t="s">
        <v>1958</v>
      </c>
      <c r="H72" s="37"/>
      <c r="I72" s="37" t="s">
        <v>2027</v>
      </c>
      <c r="J72" s="37" t="s">
        <v>1960</v>
      </c>
      <c r="K72" s="53" t="s">
        <v>1789</v>
      </c>
      <c r="L72" s="54" t="s">
        <v>1790</v>
      </c>
      <c r="M72" s="37" t="s">
        <v>1791</v>
      </c>
      <c r="N72" s="37"/>
      <c r="O72" s="55" t="s">
        <v>1354</v>
      </c>
      <c r="P72" s="37"/>
      <c r="Q72" s="37"/>
    </row>
    <row r="73" ht="15.75" customHeight="1">
      <c r="A73" s="42" t="s">
        <v>2047</v>
      </c>
      <c r="B73" s="42" t="s">
        <v>1747</v>
      </c>
      <c r="C73" s="42" t="s">
        <v>2048</v>
      </c>
      <c r="D73" s="42" t="s">
        <v>1783</v>
      </c>
      <c r="E73" s="42" t="s">
        <v>2049</v>
      </c>
      <c r="F73" s="42" t="s">
        <v>2009</v>
      </c>
      <c r="G73" s="42" t="s">
        <v>1964</v>
      </c>
      <c r="H73" s="42"/>
      <c r="I73" s="42" t="s">
        <v>2027</v>
      </c>
      <c r="J73" s="42" t="s">
        <v>1960</v>
      </c>
      <c r="K73" s="53" t="s">
        <v>1789</v>
      </c>
      <c r="L73" s="54" t="s">
        <v>1790</v>
      </c>
      <c r="M73" s="42" t="s">
        <v>1791</v>
      </c>
      <c r="N73" s="42"/>
      <c r="O73" s="55" t="s">
        <v>1354</v>
      </c>
      <c r="P73" s="42"/>
      <c r="Q73" s="42"/>
    </row>
    <row r="74" ht="15.75" customHeight="1">
      <c r="A74" s="37" t="s">
        <v>2050</v>
      </c>
      <c r="B74" s="37" t="s">
        <v>1747</v>
      </c>
      <c r="C74" s="37" t="s">
        <v>2051</v>
      </c>
      <c r="D74" s="37" t="s">
        <v>1862</v>
      </c>
      <c r="E74" s="37" t="s">
        <v>2052</v>
      </c>
      <c r="F74" s="37" t="s">
        <v>1957</v>
      </c>
      <c r="G74" s="37" t="s">
        <v>1958</v>
      </c>
      <c r="H74" s="37"/>
      <c r="I74" s="37" t="s">
        <v>2042</v>
      </c>
      <c r="J74" s="37" t="s">
        <v>1960</v>
      </c>
      <c r="K74" s="53" t="s">
        <v>1789</v>
      </c>
      <c r="L74" s="54" t="s">
        <v>1790</v>
      </c>
      <c r="M74" s="37" t="s">
        <v>1791</v>
      </c>
      <c r="N74" s="37"/>
      <c r="O74" s="55" t="s">
        <v>1354</v>
      </c>
      <c r="P74" s="37"/>
      <c r="Q74" s="37"/>
    </row>
    <row r="75" ht="15.75" customHeight="1">
      <c r="A75" s="42" t="s">
        <v>2053</v>
      </c>
      <c r="B75" s="42" t="s">
        <v>1747</v>
      </c>
      <c r="C75" s="42" t="s">
        <v>2054</v>
      </c>
      <c r="D75" s="42" t="s">
        <v>2055</v>
      </c>
      <c r="E75" s="42" t="s">
        <v>2056</v>
      </c>
      <c r="F75" s="42" t="s">
        <v>2057</v>
      </c>
      <c r="G75" s="42" t="s">
        <v>2058</v>
      </c>
      <c r="H75" s="42"/>
      <c r="I75" s="42" t="s">
        <v>1959</v>
      </c>
      <c r="J75" s="42" t="s">
        <v>1960</v>
      </c>
      <c r="K75" s="53" t="s">
        <v>1789</v>
      </c>
      <c r="L75" s="54" t="s">
        <v>1790</v>
      </c>
      <c r="M75" s="42" t="s">
        <v>1791</v>
      </c>
      <c r="N75" s="42"/>
      <c r="O75" s="55" t="s">
        <v>1354</v>
      </c>
      <c r="P75" s="42"/>
      <c r="Q75" s="42"/>
    </row>
    <row r="76" ht="15.75" customHeight="1">
      <c r="A76" s="37" t="s">
        <v>2059</v>
      </c>
      <c r="B76" s="37" t="s">
        <v>1747</v>
      </c>
      <c r="C76" s="37" t="s">
        <v>2060</v>
      </c>
      <c r="D76" s="37" t="s">
        <v>2061</v>
      </c>
      <c r="E76" s="37" t="s">
        <v>2062</v>
      </c>
      <c r="F76" s="37" t="s">
        <v>2063</v>
      </c>
      <c r="G76" s="37" t="s">
        <v>2063</v>
      </c>
      <c r="H76" s="37"/>
      <c r="I76" s="37" t="s">
        <v>1959</v>
      </c>
      <c r="J76" s="37" t="s">
        <v>1960</v>
      </c>
      <c r="K76" s="53" t="s">
        <v>1789</v>
      </c>
      <c r="L76" s="54" t="s">
        <v>1790</v>
      </c>
      <c r="M76" s="37" t="s">
        <v>1791</v>
      </c>
      <c r="N76" s="37"/>
      <c r="O76" s="55" t="s">
        <v>1354</v>
      </c>
      <c r="P76" s="37"/>
      <c r="Q76" s="37"/>
    </row>
    <row r="77" ht="15.75" customHeight="1">
      <c r="A77" s="42" t="s">
        <v>2064</v>
      </c>
      <c r="B77" s="42" t="s">
        <v>1747</v>
      </c>
      <c r="C77" s="42" t="s">
        <v>2065</v>
      </c>
      <c r="D77" s="42" t="s">
        <v>2066</v>
      </c>
      <c r="E77" s="42" t="s">
        <v>2067</v>
      </c>
      <c r="F77" s="42" t="s">
        <v>2068</v>
      </c>
      <c r="G77" s="42" t="s">
        <v>2068</v>
      </c>
      <c r="H77" s="42"/>
      <c r="I77" s="42" t="s">
        <v>2027</v>
      </c>
      <c r="J77" s="42" t="s">
        <v>1960</v>
      </c>
      <c r="K77" s="53" t="s">
        <v>1789</v>
      </c>
      <c r="L77" s="54" t="s">
        <v>1790</v>
      </c>
      <c r="M77" s="42" t="s">
        <v>1791</v>
      </c>
      <c r="N77" s="42"/>
      <c r="O77" s="55" t="s">
        <v>1354</v>
      </c>
      <c r="P77" s="42"/>
      <c r="Q77" s="42"/>
    </row>
    <row r="78" ht="15.75" customHeight="1">
      <c r="A78" s="37" t="s">
        <v>2069</v>
      </c>
      <c r="B78" s="37" t="s">
        <v>1747</v>
      </c>
      <c r="C78" s="37" t="s">
        <v>2070</v>
      </c>
      <c r="D78" s="37" t="s">
        <v>2071</v>
      </c>
      <c r="E78" s="37" t="s">
        <v>2072</v>
      </c>
      <c r="F78" s="37" t="s">
        <v>2073</v>
      </c>
      <c r="G78" s="37" t="s">
        <v>2073</v>
      </c>
      <c r="H78" s="37"/>
      <c r="I78" s="37" t="s">
        <v>2027</v>
      </c>
      <c r="J78" s="37" t="s">
        <v>1960</v>
      </c>
      <c r="K78" s="53" t="s">
        <v>1789</v>
      </c>
      <c r="L78" s="54" t="s">
        <v>1790</v>
      </c>
      <c r="M78" s="37" t="s">
        <v>1791</v>
      </c>
      <c r="N78" s="37"/>
      <c r="O78" s="55" t="s">
        <v>1354</v>
      </c>
      <c r="P78" s="37"/>
      <c r="Q78" s="37"/>
    </row>
    <row r="79" ht="15.75" customHeight="1">
      <c r="A79" s="42" t="s">
        <v>2074</v>
      </c>
      <c r="B79" s="42" t="s">
        <v>2075</v>
      </c>
      <c r="C79" s="42" t="s">
        <v>2076</v>
      </c>
      <c r="D79" s="42" t="s">
        <v>2077</v>
      </c>
      <c r="E79" s="42" t="s">
        <v>2078</v>
      </c>
      <c r="F79" s="42" t="s">
        <v>1785</v>
      </c>
      <c r="G79" s="42" t="s">
        <v>2079</v>
      </c>
      <c r="H79" s="42"/>
      <c r="I79" s="42" t="s">
        <v>1832</v>
      </c>
      <c r="J79" s="42" t="s">
        <v>2080</v>
      </c>
      <c r="K79" s="53" t="s">
        <v>1789</v>
      </c>
      <c r="L79" s="54" t="s">
        <v>1790</v>
      </c>
      <c r="M79" s="42" t="s">
        <v>1791</v>
      </c>
      <c r="N79" s="42"/>
      <c r="O79" s="55" t="s">
        <v>1354</v>
      </c>
      <c r="P79" s="42"/>
      <c r="Q79" s="42"/>
    </row>
    <row r="80" ht="15.75" customHeight="1">
      <c r="A80" s="37" t="s">
        <v>2081</v>
      </c>
      <c r="B80" s="37" t="s">
        <v>2075</v>
      </c>
      <c r="C80" s="37" t="s">
        <v>2082</v>
      </c>
      <c r="D80" s="37" t="s">
        <v>2077</v>
      </c>
      <c r="E80" s="37" t="s">
        <v>2083</v>
      </c>
      <c r="F80" s="37" t="s">
        <v>1785</v>
      </c>
      <c r="G80" s="37" t="s">
        <v>2079</v>
      </c>
      <c r="H80" s="37"/>
      <c r="I80" s="37" t="s">
        <v>1832</v>
      </c>
      <c r="J80" s="37" t="s">
        <v>2080</v>
      </c>
      <c r="K80" s="53" t="s">
        <v>1789</v>
      </c>
      <c r="L80" s="54" t="s">
        <v>1790</v>
      </c>
      <c r="M80" s="37" t="s">
        <v>1791</v>
      </c>
      <c r="N80" s="37"/>
      <c r="O80" s="55" t="s">
        <v>1354</v>
      </c>
      <c r="P80" s="37"/>
      <c r="Q80" s="37"/>
    </row>
    <row r="81" ht="15.75" customHeight="1">
      <c r="A81" s="42" t="s">
        <v>2084</v>
      </c>
      <c r="B81" s="42" t="s">
        <v>2075</v>
      </c>
      <c r="C81" s="42" t="s">
        <v>2085</v>
      </c>
      <c r="D81" s="42" t="s">
        <v>2077</v>
      </c>
      <c r="E81" s="42" t="s">
        <v>2086</v>
      </c>
      <c r="F81" s="42" t="s">
        <v>1785</v>
      </c>
      <c r="G81" s="42" t="s">
        <v>2079</v>
      </c>
      <c r="H81" s="42"/>
      <c r="I81" s="42" t="s">
        <v>1832</v>
      </c>
      <c r="J81" s="42" t="s">
        <v>2080</v>
      </c>
      <c r="K81" s="53" t="s">
        <v>1789</v>
      </c>
      <c r="L81" s="54" t="s">
        <v>1790</v>
      </c>
      <c r="M81" s="42" t="s">
        <v>1791</v>
      </c>
      <c r="N81" s="42"/>
      <c r="O81" s="55" t="s">
        <v>1354</v>
      </c>
      <c r="P81" s="42"/>
      <c r="Q81" s="42"/>
    </row>
    <row r="82" ht="15.75" customHeight="1">
      <c r="A82" s="37" t="s">
        <v>2087</v>
      </c>
      <c r="B82" s="37" t="s">
        <v>2075</v>
      </c>
      <c r="C82" s="37" t="s">
        <v>2088</v>
      </c>
      <c r="D82" s="37" t="s">
        <v>2077</v>
      </c>
      <c r="E82" s="37" t="s">
        <v>2020</v>
      </c>
      <c r="F82" s="37" t="s">
        <v>1785</v>
      </c>
      <c r="G82" s="37" t="s">
        <v>2079</v>
      </c>
      <c r="H82" s="37"/>
      <c r="I82" s="37" t="s">
        <v>2016</v>
      </c>
      <c r="J82" s="37" t="s">
        <v>2089</v>
      </c>
      <c r="K82" s="53" t="s">
        <v>1789</v>
      </c>
      <c r="L82" s="54" t="s">
        <v>1790</v>
      </c>
      <c r="M82" s="37" t="s">
        <v>1791</v>
      </c>
      <c r="N82" s="37"/>
      <c r="O82" s="55" t="s">
        <v>1354</v>
      </c>
      <c r="P82" s="37"/>
      <c r="Q82" s="37"/>
    </row>
    <row r="83" ht="15.75" customHeight="1">
      <c r="O83" s="32"/>
    </row>
    <row r="84" ht="15.75" customHeight="1">
      <c r="B84" s="56" t="s">
        <v>2090</v>
      </c>
      <c r="O84" s="32"/>
    </row>
    <row r="85" ht="15.75" customHeight="1">
      <c r="O85" s="32"/>
    </row>
    <row r="86" ht="15.75" customHeight="1">
      <c r="O86" s="32"/>
    </row>
    <row r="87" ht="15.75" customHeight="1">
      <c r="O87" s="32"/>
    </row>
    <row r="88" ht="15.75" customHeight="1">
      <c r="O88" s="32"/>
    </row>
    <row r="89" ht="15.75" customHeight="1">
      <c r="O89" s="32"/>
    </row>
    <row r="90" ht="15.75" customHeight="1">
      <c r="O90" s="32"/>
    </row>
    <row r="91" ht="15.75" customHeight="1">
      <c r="O91" s="32"/>
    </row>
    <row r="92" ht="15.75" customHeight="1">
      <c r="O92" s="32"/>
    </row>
    <row r="93" ht="15.75" customHeight="1">
      <c r="O93" s="32"/>
    </row>
    <row r="94" ht="15.75" customHeight="1">
      <c r="O94" s="32"/>
    </row>
    <row r="95" ht="15.75" customHeight="1">
      <c r="O95" s="32"/>
    </row>
    <row r="96" ht="15.75" customHeight="1">
      <c r="O96" s="32"/>
    </row>
    <row r="97" ht="15.75" customHeight="1">
      <c r="O97" s="32"/>
    </row>
    <row r="98" ht="15.75" customHeight="1">
      <c r="O98" s="32"/>
    </row>
    <row r="99" ht="15.75" customHeight="1">
      <c r="O99" s="32"/>
    </row>
    <row r="100" ht="15.75" customHeight="1">
      <c r="O100" s="32"/>
    </row>
    <row r="101" ht="15.75" customHeight="1">
      <c r="O101" s="32"/>
    </row>
    <row r="102" ht="15.75" customHeight="1">
      <c r="O102" s="32"/>
    </row>
    <row r="103" ht="15.75" customHeight="1">
      <c r="O103" s="32"/>
    </row>
    <row r="104" ht="15.75" customHeight="1">
      <c r="O104" s="32"/>
    </row>
    <row r="105" ht="15.75" customHeight="1">
      <c r="O105" s="32"/>
    </row>
    <row r="106" ht="15.75" customHeight="1">
      <c r="O106" s="32"/>
    </row>
    <row r="107" ht="15.75" customHeight="1">
      <c r="O107" s="32"/>
    </row>
    <row r="108" ht="15.75" customHeight="1">
      <c r="O108" s="32"/>
    </row>
    <row r="109" ht="15.75" customHeight="1">
      <c r="O109" s="32"/>
    </row>
    <row r="110" ht="15.75" customHeight="1">
      <c r="O110" s="32"/>
    </row>
    <row r="111" ht="15.75" customHeight="1">
      <c r="O111" s="32"/>
    </row>
    <row r="112" ht="15.75" customHeight="1">
      <c r="O112" s="32"/>
    </row>
    <row r="113" ht="15.75" customHeight="1">
      <c r="O113" s="32"/>
    </row>
    <row r="114" ht="15.75" customHeight="1">
      <c r="O114" s="32"/>
    </row>
    <row r="115" ht="15.75" customHeight="1">
      <c r="O115" s="32"/>
    </row>
    <row r="116" ht="15.75" customHeight="1">
      <c r="O116" s="32"/>
    </row>
    <row r="117" ht="15.75" customHeight="1">
      <c r="O117" s="32"/>
    </row>
    <row r="118" ht="15.75" customHeight="1">
      <c r="O118" s="32"/>
    </row>
    <row r="119" ht="15.75" customHeight="1">
      <c r="O119" s="32"/>
    </row>
    <row r="120" ht="15.75" customHeight="1">
      <c r="O120" s="32"/>
    </row>
    <row r="121" ht="15.75" customHeight="1">
      <c r="O121" s="32"/>
    </row>
    <row r="122" ht="15.75" customHeight="1">
      <c r="O122" s="32"/>
    </row>
    <row r="123" ht="15.75" customHeight="1">
      <c r="O123" s="32"/>
    </row>
    <row r="124" ht="15.75" customHeight="1">
      <c r="O124" s="32"/>
    </row>
    <row r="125" ht="15.75" customHeight="1">
      <c r="O125" s="32"/>
    </row>
    <row r="126" ht="15.75" customHeight="1">
      <c r="O126" s="32"/>
    </row>
    <row r="127" ht="15.75" customHeight="1">
      <c r="O127" s="32"/>
    </row>
    <row r="128" ht="15.75" customHeight="1">
      <c r="O128" s="32"/>
    </row>
    <row r="129" ht="15.75" customHeight="1">
      <c r="O129" s="32"/>
    </row>
    <row r="130" ht="15.75" customHeight="1">
      <c r="O130" s="32"/>
    </row>
    <row r="131" ht="15.75" customHeight="1">
      <c r="O131" s="32"/>
    </row>
    <row r="132" ht="15.75" customHeight="1">
      <c r="O132" s="32"/>
    </row>
    <row r="133" ht="15.75" customHeight="1">
      <c r="O133" s="32"/>
    </row>
    <row r="134" ht="15.75" customHeight="1">
      <c r="O134" s="32"/>
    </row>
    <row r="135" ht="15.75" customHeight="1">
      <c r="O135" s="32"/>
    </row>
    <row r="136" ht="15.75" customHeight="1">
      <c r="O136" s="32"/>
    </row>
    <row r="137" ht="15.75" customHeight="1">
      <c r="O137" s="32"/>
    </row>
    <row r="138" ht="15.75" customHeight="1">
      <c r="O138" s="32"/>
    </row>
    <row r="139" ht="15.75" customHeight="1">
      <c r="O139" s="32"/>
    </row>
    <row r="140" ht="15.75" customHeight="1">
      <c r="O140" s="32"/>
    </row>
    <row r="141" ht="15.75" customHeight="1">
      <c r="O141" s="32"/>
    </row>
    <row r="142" ht="15.75" customHeight="1">
      <c r="O142" s="32"/>
    </row>
    <row r="143" ht="15.75" customHeight="1">
      <c r="O143" s="32"/>
    </row>
    <row r="144" ht="15.75" customHeight="1">
      <c r="O144" s="32"/>
    </row>
    <row r="145" ht="15.75" customHeight="1">
      <c r="O145" s="32"/>
    </row>
    <row r="146" ht="15.75" customHeight="1">
      <c r="O146" s="32"/>
    </row>
    <row r="147" ht="15.75" customHeight="1">
      <c r="O147" s="32"/>
    </row>
    <row r="148" ht="15.75" customHeight="1">
      <c r="O148" s="32"/>
    </row>
    <row r="149" ht="15.75" customHeight="1">
      <c r="O149" s="32"/>
    </row>
    <row r="150" ht="15.75" customHeight="1">
      <c r="O150" s="32"/>
    </row>
    <row r="151" ht="15.75" customHeight="1">
      <c r="O151" s="32"/>
    </row>
    <row r="152" ht="15.75" customHeight="1">
      <c r="O152" s="32"/>
    </row>
    <row r="153" ht="15.75" customHeight="1">
      <c r="O153" s="32"/>
    </row>
    <row r="154" ht="15.75" customHeight="1">
      <c r="O154" s="32"/>
    </row>
    <row r="155" ht="15.75" customHeight="1">
      <c r="O155" s="32"/>
    </row>
    <row r="156" ht="15.75" customHeight="1">
      <c r="O156" s="32"/>
    </row>
    <row r="157" ht="15.75" customHeight="1">
      <c r="O157" s="32"/>
    </row>
    <row r="158" ht="15.75" customHeight="1">
      <c r="O158" s="32"/>
    </row>
    <row r="159" ht="15.75" customHeight="1">
      <c r="O159" s="32"/>
    </row>
    <row r="160" ht="15.75" customHeight="1">
      <c r="O160" s="32"/>
    </row>
    <row r="161" ht="15.75" customHeight="1">
      <c r="O161" s="32"/>
    </row>
    <row r="162" ht="15.75" customHeight="1">
      <c r="O162" s="32"/>
    </row>
    <row r="163" ht="15.75" customHeight="1">
      <c r="O163" s="32"/>
    </row>
    <row r="164" ht="15.75" customHeight="1">
      <c r="O164" s="32"/>
    </row>
    <row r="165" ht="15.75" customHeight="1">
      <c r="O165" s="32"/>
    </row>
    <row r="166" ht="15.75" customHeight="1">
      <c r="O166" s="32"/>
    </row>
    <row r="167" ht="15.75" customHeight="1">
      <c r="O167" s="32"/>
    </row>
    <row r="168" ht="15.75" customHeight="1">
      <c r="O168" s="32"/>
    </row>
    <row r="169" ht="15.75" customHeight="1">
      <c r="O169" s="32"/>
    </row>
    <row r="170" ht="15.75" customHeight="1">
      <c r="O170" s="32"/>
    </row>
    <row r="171" ht="15.75" customHeight="1">
      <c r="O171" s="32"/>
    </row>
    <row r="172" ht="15.75" customHeight="1">
      <c r="O172" s="32"/>
    </row>
    <row r="173" ht="15.75" customHeight="1">
      <c r="O173" s="32"/>
    </row>
    <row r="174" ht="15.75" customHeight="1">
      <c r="O174" s="32"/>
    </row>
    <row r="175" ht="15.75" customHeight="1">
      <c r="O175" s="32"/>
    </row>
    <row r="176" ht="15.75" customHeight="1">
      <c r="O176" s="32"/>
    </row>
    <row r="177" ht="15.75" customHeight="1">
      <c r="O177" s="32"/>
    </row>
    <row r="178" ht="15.75" customHeight="1">
      <c r="O178" s="32"/>
    </row>
    <row r="179" ht="15.75" customHeight="1">
      <c r="O179" s="32"/>
    </row>
    <row r="180" ht="15.75" customHeight="1">
      <c r="O180" s="32"/>
    </row>
    <row r="181" ht="15.75" customHeight="1">
      <c r="O181" s="32"/>
    </row>
    <row r="182" ht="15.75" customHeight="1">
      <c r="O182" s="32"/>
    </row>
    <row r="183" ht="15.75" customHeight="1">
      <c r="O183" s="32"/>
    </row>
    <row r="184" ht="15.75" customHeight="1">
      <c r="O184" s="32"/>
    </row>
    <row r="185" ht="15.75" customHeight="1">
      <c r="O185" s="32"/>
    </row>
    <row r="186" ht="15.75" customHeight="1">
      <c r="O186" s="32"/>
    </row>
    <row r="187" ht="15.75" customHeight="1">
      <c r="O187" s="32"/>
    </row>
    <row r="188" ht="15.75" customHeight="1">
      <c r="O188" s="32"/>
    </row>
    <row r="189" ht="15.75" customHeight="1">
      <c r="O189" s="32"/>
    </row>
    <row r="190" ht="15.75" customHeight="1">
      <c r="O190" s="32"/>
    </row>
    <row r="191" ht="15.75" customHeight="1">
      <c r="O191" s="32"/>
    </row>
    <row r="192" ht="15.75" customHeight="1">
      <c r="O192" s="32"/>
    </row>
    <row r="193" ht="15.75" customHeight="1">
      <c r="O193" s="32"/>
    </row>
    <row r="194" ht="15.75" customHeight="1">
      <c r="O194" s="32"/>
    </row>
    <row r="195" ht="15.75" customHeight="1">
      <c r="O195" s="32"/>
    </row>
    <row r="196" ht="15.75" customHeight="1">
      <c r="O196" s="32"/>
    </row>
    <row r="197" ht="15.75" customHeight="1">
      <c r="O197" s="32"/>
    </row>
    <row r="198" ht="15.75" customHeight="1">
      <c r="O198" s="32"/>
    </row>
    <row r="199" ht="15.75" customHeight="1">
      <c r="O199" s="32"/>
    </row>
    <row r="200" ht="15.75" customHeight="1">
      <c r="O200" s="32"/>
    </row>
    <row r="201" ht="15.75" customHeight="1">
      <c r="O201" s="32"/>
    </row>
    <row r="202" ht="15.75" customHeight="1">
      <c r="O202" s="32"/>
    </row>
    <row r="203" ht="15.75" customHeight="1">
      <c r="O203" s="32"/>
    </row>
    <row r="204" ht="15.75" customHeight="1">
      <c r="O204" s="32"/>
    </row>
    <row r="205" ht="15.75" customHeight="1">
      <c r="O205" s="32"/>
    </row>
    <row r="206" ht="15.75" customHeight="1">
      <c r="O206" s="32"/>
    </row>
    <row r="207" ht="15.75" customHeight="1">
      <c r="O207" s="32"/>
    </row>
    <row r="208" ht="15.75" customHeight="1">
      <c r="O208" s="32"/>
    </row>
    <row r="209" ht="15.75" customHeight="1">
      <c r="O209" s="32"/>
    </row>
    <row r="210" ht="15.75" customHeight="1">
      <c r="O210" s="32"/>
    </row>
    <row r="211" ht="15.75" customHeight="1">
      <c r="O211" s="32"/>
    </row>
    <row r="212" ht="15.75" customHeight="1">
      <c r="O212" s="32"/>
    </row>
    <row r="213" ht="15.75" customHeight="1">
      <c r="O213" s="32"/>
    </row>
    <row r="214" ht="15.75" customHeight="1">
      <c r="O214" s="32"/>
    </row>
    <row r="215" ht="15.75" customHeight="1">
      <c r="O215" s="32"/>
    </row>
    <row r="216" ht="15.75" customHeight="1">
      <c r="O216" s="32"/>
    </row>
    <row r="217" ht="15.75" customHeight="1">
      <c r="O217" s="32"/>
    </row>
    <row r="218" ht="15.75" customHeight="1">
      <c r="O218" s="32"/>
    </row>
    <row r="219" ht="15.75" customHeight="1">
      <c r="O219" s="32"/>
    </row>
    <row r="220" ht="15.75" customHeight="1">
      <c r="O220" s="32"/>
    </row>
    <row r="221" ht="15.75" customHeight="1">
      <c r="O221" s="32"/>
    </row>
    <row r="222" ht="15.75" customHeight="1">
      <c r="O222" s="32"/>
    </row>
    <row r="223" ht="15.75" customHeight="1">
      <c r="O223" s="32"/>
    </row>
    <row r="224" ht="15.75" customHeight="1">
      <c r="O224" s="32"/>
    </row>
    <row r="225" ht="15.75" customHeight="1">
      <c r="O225" s="32"/>
    </row>
    <row r="226" ht="15.75" customHeight="1">
      <c r="O226" s="32"/>
    </row>
    <row r="227" ht="15.75" customHeight="1">
      <c r="O227" s="32"/>
    </row>
    <row r="228" ht="15.75" customHeight="1">
      <c r="O228" s="32"/>
    </row>
    <row r="229" ht="15.75" customHeight="1">
      <c r="O229" s="32"/>
    </row>
    <row r="230" ht="15.75" customHeight="1">
      <c r="O230" s="32"/>
    </row>
    <row r="231" ht="15.75" customHeight="1">
      <c r="O231" s="32"/>
    </row>
    <row r="232" ht="15.75" customHeight="1">
      <c r="O232" s="32"/>
    </row>
    <row r="233" ht="15.75" customHeight="1">
      <c r="O233" s="32"/>
    </row>
    <row r="234" ht="15.75" customHeight="1">
      <c r="O234" s="32"/>
    </row>
    <row r="235" ht="15.75" customHeight="1">
      <c r="O235" s="32"/>
    </row>
    <row r="236" ht="15.75" customHeight="1">
      <c r="O236" s="32"/>
    </row>
    <row r="237" ht="15.75" customHeight="1">
      <c r="O237" s="32"/>
    </row>
    <row r="238" ht="15.75" customHeight="1">
      <c r="O238" s="32"/>
    </row>
    <row r="239" ht="15.75" customHeight="1">
      <c r="O239" s="32"/>
    </row>
    <row r="240" ht="15.75" customHeight="1">
      <c r="O240" s="32"/>
    </row>
    <row r="241" ht="15.75" customHeight="1">
      <c r="O241" s="32"/>
    </row>
    <row r="242" ht="15.75" customHeight="1">
      <c r="O242" s="32"/>
    </row>
    <row r="243" ht="15.75" customHeight="1">
      <c r="O243" s="32"/>
    </row>
    <row r="244" ht="15.75" customHeight="1">
      <c r="O244" s="32"/>
    </row>
    <row r="245" ht="15.75" customHeight="1">
      <c r="O245" s="32"/>
    </row>
    <row r="246" ht="15.75" customHeight="1">
      <c r="O246" s="32"/>
    </row>
    <row r="247" ht="15.75" customHeight="1">
      <c r="O247" s="32"/>
    </row>
    <row r="248" ht="15.75" customHeight="1">
      <c r="O248" s="32"/>
    </row>
    <row r="249" ht="15.75" customHeight="1">
      <c r="O249" s="32"/>
    </row>
    <row r="250" ht="15.75" customHeight="1">
      <c r="O250" s="32"/>
    </row>
    <row r="251" ht="15.75" customHeight="1">
      <c r="O251" s="32"/>
    </row>
    <row r="252" ht="15.75" customHeight="1">
      <c r="O252" s="32"/>
    </row>
    <row r="253" ht="15.75" customHeight="1">
      <c r="O253" s="32"/>
    </row>
    <row r="254" ht="15.75" customHeight="1">
      <c r="O254" s="32"/>
    </row>
    <row r="255" ht="15.75" customHeight="1">
      <c r="O255" s="32"/>
    </row>
    <row r="256" ht="15.75" customHeight="1">
      <c r="O256" s="32"/>
    </row>
    <row r="257" ht="15.75" customHeight="1">
      <c r="O257" s="32"/>
    </row>
    <row r="258" ht="15.75" customHeight="1">
      <c r="O258" s="32"/>
    </row>
    <row r="259" ht="15.75" customHeight="1">
      <c r="O259" s="32"/>
    </row>
    <row r="260" ht="15.75" customHeight="1">
      <c r="O260" s="32"/>
    </row>
    <row r="261" ht="15.75" customHeight="1">
      <c r="O261" s="32"/>
    </row>
    <row r="262" ht="15.75" customHeight="1">
      <c r="O262" s="32"/>
    </row>
    <row r="263" ht="15.75" customHeight="1">
      <c r="O263" s="32"/>
    </row>
    <row r="264" ht="15.75" customHeight="1">
      <c r="O264" s="32"/>
    </row>
    <row r="265" ht="15.75" customHeight="1">
      <c r="O265" s="32"/>
    </row>
    <row r="266" ht="15.75" customHeight="1">
      <c r="O266" s="32"/>
    </row>
    <row r="267" ht="15.75" customHeight="1">
      <c r="O267" s="32"/>
    </row>
    <row r="268" ht="15.75" customHeight="1">
      <c r="O268" s="32"/>
    </row>
    <row r="269" ht="15.75" customHeight="1">
      <c r="O269" s="32"/>
    </row>
    <row r="270" ht="15.75" customHeight="1">
      <c r="O270" s="32"/>
    </row>
    <row r="271" ht="15.75" customHeight="1">
      <c r="O271" s="32"/>
    </row>
    <row r="272" ht="15.75" customHeight="1">
      <c r="O272" s="32"/>
    </row>
    <row r="273" ht="15.75" customHeight="1">
      <c r="O273" s="32"/>
    </row>
    <row r="274" ht="15.75" customHeight="1">
      <c r="O274" s="32"/>
    </row>
    <row r="275" ht="15.75" customHeight="1">
      <c r="O275" s="32"/>
    </row>
    <row r="276" ht="15.75" customHeight="1">
      <c r="O276" s="32"/>
    </row>
    <row r="277" ht="15.75" customHeight="1">
      <c r="O277" s="32"/>
    </row>
    <row r="278" ht="15.75" customHeight="1">
      <c r="O278" s="32"/>
    </row>
    <row r="279" ht="15.75" customHeight="1">
      <c r="O279" s="32"/>
    </row>
    <row r="280" ht="15.75" customHeight="1">
      <c r="O280" s="32"/>
    </row>
    <row r="281" ht="15.75" customHeight="1">
      <c r="O281" s="32"/>
    </row>
    <row r="282" ht="15.75" customHeight="1">
      <c r="O282" s="32"/>
    </row>
    <row r="283" ht="15.75" customHeight="1">
      <c r="O283" s="32"/>
    </row>
    <row r="284" ht="15.75" customHeight="1">
      <c r="O284" s="32"/>
    </row>
    <row r="285" ht="15.75" customHeight="1">
      <c r="O285" s="41"/>
    </row>
    <row r="286" ht="15.75" customHeight="1">
      <c r="O286" s="41"/>
    </row>
    <row r="287" ht="15.75" customHeight="1">
      <c r="O287" s="41"/>
    </row>
    <row r="288" ht="15.75" customHeight="1">
      <c r="O288" s="41"/>
    </row>
    <row r="289" ht="15.75" customHeight="1">
      <c r="O289" s="41"/>
    </row>
    <row r="290" ht="15.75" customHeight="1">
      <c r="O290" s="41"/>
    </row>
    <row r="291" ht="15.75" customHeight="1">
      <c r="O291" s="41"/>
    </row>
    <row r="292" ht="15.75" customHeight="1">
      <c r="O292" s="41"/>
    </row>
    <row r="293" ht="15.75" customHeight="1">
      <c r="O293" s="41"/>
    </row>
    <row r="294" ht="15.75" customHeight="1">
      <c r="O294" s="41"/>
    </row>
    <row r="295" ht="15.75" customHeight="1">
      <c r="O295" s="41"/>
    </row>
    <row r="296" ht="15.75" customHeight="1">
      <c r="O296" s="41"/>
    </row>
    <row r="297" ht="15.75" customHeight="1">
      <c r="O297" s="41"/>
    </row>
    <row r="298" ht="15.75" customHeight="1">
      <c r="O298" s="41"/>
    </row>
    <row r="299" ht="15.75" customHeight="1">
      <c r="O299" s="41"/>
    </row>
    <row r="300" ht="15.75" customHeight="1">
      <c r="O300" s="41"/>
    </row>
    <row r="301" ht="15.75" customHeight="1">
      <c r="O301" s="41"/>
    </row>
    <row r="302" ht="15.75" customHeight="1">
      <c r="O302" s="41"/>
    </row>
    <row r="303" ht="15.75" customHeight="1">
      <c r="O303" s="41"/>
    </row>
    <row r="304" ht="15.75" customHeight="1">
      <c r="O304" s="41"/>
    </row>
    <row r="305" ht="15.75" customHeight="1">
      <c r="O305" s="41"/>
    </row>
    <row r="306" ht="15.75" customHeight="1">
      <c r="O306" s="41"/>
    </row>
    <row r="307" ht="15.75" customHeight="1">
      <c r="O307" s="41"/>
    </row>
    <row r="308" ht="15.75" customHeight="1">
      <c r="O308" s="41"/>
    </row>
    <row r="309" ht="15.75" customHeight="1">
      <c r="O309" s="41"/>
    </row>
    <row r="310" ht="15.75" customHeight="1">
      <c r="O310" s="41"/>
    </row>
    <row r="311" ht="15.75" customHeight="1">
      <c r="O311" s="41"/>
    </row>
    <row r="312" ht="15.75" customHeight="1">
      <c r="O312" s="41"/>
    </row>
    <row r="313" ht="15.75" customHeight="1">
      <c r="O313" s="41"/>
    </row>
    <row r="314" ht="15.75" customHeight="1">
      <c r="O314" s="41"/>
    </row>
    <row r="315" ht="15.75" customHeight="1">
      <c r="O315" s="41"/>
    </row>
    <row r="316" ht="15.75" customHeight="1">
      <c r="O316" s="41"/>
    </row>
    <row r="317" ht="15.75" customHeight="1">
      <c r="O317" s="41"/>
    </row>
    <row r="318" ht="15.75" customHeight="1">
      <c r="O318" s="41"/>
    </row>
    <row r="319" ht="15.75" customHeight="1">
      <c r="O319" s="41"/>
    </row>
    <row r="320" ht="15.75" customHeight="1">
      <c r="O320" s="41"/>
    </row>
    <row r="321" ht="15.75" customHeight="1">
      <c r="O321" s="41"/>
    </row>
    <row r="322" ht="15.75" customHeight="1">
      <c r="O322" s="41"/>
    </row>
    <row r="323" ht="15.75" customHeight="1">
      <c r="O323" s="41"/>
    </row>
    <row r="324" ht="15.75" customHeight="1">
      <c r="O324" s="41"/>
    </row>
    <row r="325" ht="15.75" customHeight="1">
      <c r="O325" s="41"/>
    </row>
    <row r="326" ht="15.75" customHeight="1">
      <c r="O326" s="41"/>
    </row>
    <row r="327" ht="15.75" customHeight="1">
      <c r="O327" s="41"/>
    </row>
    <row r="328" ht="15.75" customHeight="1">
      <c r="O328" s="41"/>
    </row>
    <row r="329" ht="15.75" customHeight="1">
      <c r="O329" s="41"/>
    </row>
    <row r="330" ht="15.75" customHeight="1">
      <c r="O330" s="41"/>
    </row>
    <row r="331" ht="15.75" customHeight="1">
      <c r="O331" s="41"/>
    </row>
    <row r="332" ht="15.75" customHeight="1">
      <c r="O332" s="41"/>
    </row>
    <row r="333" ht="15.75" customHeight="1">
      <c r="O333" s="41"/>
    </row>
    <row r="334" ht="15.75" customHeight="1">
      <c r="O334" s="41"/>
    </row>
    <row r="335" ht="15.75" customHeight="1">
      <c r="O335" s="41"/>
    </row>
    <row r="336" ht="15.75" customHeight="1">
      <c r="O336" s="41"/>
    </row>
    <row r="337" ht="15.75" customHeight="1">
      <c r="O337" s="41"/>
    </row>
    <row r="338" ht="15.75" customHeight="1">
      <c r="O338" s="41"/>
    </row>
    <row r="339" ht="15.75" customHeight="1">
      <c r="O339" s="41"/>
    </row>
    <row r="340" ht="15.75" customHeight="1">
      <c r="O340" s="41"/>
    </row>
    <row r="341" ht="15.75" customHeight="1">
      <c r="O341" s="41"/>
    </row>
    <row r="342" ht="15.75" customHeight="1">
      <c r="O342" s="41"/>
    </row>
    <row r="343" ht="15.75" customHeight="1">
      <c r="O343" s="41"/>
    </row>
    <row r="344" ht="15.75" customHeight="1">
      <c r="O344" s="41"/>
    </row>
    <row r="345" ht="15.75" customHeight="1">
      <c r="O345" s="41"/>
    </row>
    <row r="346" ht="15.75" customHeight="1">
      <c r="O346" s="41"/>
    </row>
    <row r="347" ht="15.75" customHeight="1">
      <c r="O347" s="41"/>
    </row>
    <row r="348" ht="15.75" customHeight="1">
      <c r="O348" s="41"/>
    </row>
    <row r="349" ht="15.75" customHeight="1">
      <c r="O349" s="41"/>
    </row>
    <row r="350" ht="15.75" customHeight="1">
      <c r="O350" s="41"/>
    </row>
    <row r="351" ht="15.75" customHeight="1">
      <c r="O351" s="41"/>
    </row>
    <row r="352" ht="15.75" customHeight="1">
      <c r="O352" s="41"/>
    </row>
    <row r="353" ht="15.75" customHeight="1">
      <c r="O353" s="41"/>
    </row>
    <row r="354" ht="15.75" customHeight="1">
      <c r="O354" s="41"/>
    </row>
    <row r="355" ht="15.75" customHeight="1">
      <c r="O355" s="41"/>
    </row>
    <row r="356" ht="15.75" customHeight="1">
      <c r="O356" s="41"/>
    </row>
    <row r="357" ht="15.75" customHeight="1">
      <c r="O357" s="41"/>
    </row>
    <row r="358" ht="15.75" customHeight="1">
      <c r="O358" s="41"/>
    </row>
    <row r="359" ht="15.75" customHeight="1">
      <c r="O359" s="41"/>
    </row>
    <row r="360" ht="15.75" customHeight="1">
      <c r="O360" s="41"/>
    </row>
    <row r="361" ht="15.75" customHeight="1">
      <c r="O361" s="41"/>
    </row>
    <row r="362" ht="15.75" customHeight="1">
      <c r="O362" s="41"/>
    </row>
    <row r="363" ht="15.75" customHeight="1">
      <c r="O363" s="41"/>
    </row>
    <row r="364" ht="15.75" customHeight="1">
      <c r="O364" s="41"/>
    </row>
    <row r="365" ht="15.75" customHeight="1">
      <c r="O365" s="41"/>
    </row>
    <row r="366" ht="15.75" customHeight="1">
      <c r="O366" s="41"/>
    </row>
    <row r="367" ht="15.75" customHeight="1">
      <c r="O367" s="41"/>
    </row>
    <row r="368" ht="15.75" customHeight="1">
      <c r="O368" s="41"/>
    </row>
    <row r="369" ht="15.75" customHeight="1">
      <c r="O369" s="41"/>
    </row>
    <row r="370" ht="15.75" customHeight="1">
      <c r="O370" s="41"/>
    </row>
    <row r="371" ht="15.75" customHeight="1">
      <c r="O371" s="41"/>
    </row>
    <row r="372" ht="15.75" customHeight="1">
      <c r="O372" s="41"/>
    </row>
    <row r="373" ht="15.75" customHeight="1">
      <c r="O373" s="41"/>
    </row>
    <row r="374" ht="15.75" customHeight="1">
      <c r="O374" s="41"/>
    </row>
    <row r="375" ht="15.75" customHeight="1">
      <c r="O375" s="41"/>
    </row>
    <row r="376" ht="15.75" customHeight="1">
      <c r="O376" s="41"/>
    </row>
    <row r="377" ht="15.75" customHeight="1">
      <c r="O377" s="41"/>
    </row>
    <row r="378" ht="15.75" customHeight="1">
      <c r="O378" s="41"/>
    </row>
    <row r="379" ht="15.75" customHeight="1">
      <c r="O379" s="41"/>
    </row>
    <row r="380" ht="15.75" customHeight="1">
      <c r="O380" s="41"/>
    </row>
    <row r="381" ht="15.75" customHeight="1">
      <c r="O381" s="41"/>
    </row>
    <row r="382" ht="15.75" customHeight="1">
      <c r="O382" s="41"/>
    </row>
    <row r="383" ht="15.75" customHeight="1">
      <c r="O383" s="41"/>
    </row>
    <row r="384" ht="15.75" customHeight="1">
      <c r="O384" s="41"/>
    </row>
    <row r="385" ht="15.75" customHeight="1">
      <c r="O385" s="41"/>
    </row>
    <row r="386" ht="15.75" customHeight="1">
      <c r="O386" s="41"/>
    </row>
    <row r="387" ht="15.75" customHeight="1">
      <c r="O387" s="41"/>
    </row>
    <row r="388" ht="15.75" customHeight="1">
      <c r="O388" s="41"/>
    </row>
    <row r="389" ht="15.75" customHeight="1">
      <c r="O389" s="41"/>
    </row>
    <row r="390" ht="15.75" customHeight="1">
      <c r="O390" s="41"/>
    </row>
    <row r="391" ht="15.75" customHeight="1">
      <c r="O391" s="41"/>
    </row>
    <row r="392" ht="15.75" customHeight="1">
      <c r="O392" s="41"/>
    </row>
    <row r="393" ht="15.75" customHeight="1">
      <c r="O393" s="41"/>
    </row>
    <row r="394" ht="15.75" customHeight="1">
      <c r="O394" s="41"/>
    </row>
    <row r="395" ht="15.75" customHeight="1">
      <c r="O395" s="41"/>
    </row>
    <row r="396" ht="15.75" customHeight="1">
      <c r="O396" s="41"/>
    </row>
    <row r="397" ht="15.75" customHeight="1">
      <c r="O397" s="41"/>
    </row>
    <row r="398" ht="15.75" customHeight="1">
      <c r="O398" s="41"/>
    </row>
    <row r="399" ht="15.75" customHeight="1">
      <c r="O399" s="41"/>
    </row>
    <row r="400" ht="15.75" customHeight="1">
      <c r="O400" s="41"/>
    </row>
    <row r="401" ht="15.75" customHeight="1">
      <c r="O401" s="41"/>
    </row>
    <row r="402" ht="15.75" customHeight="1">
      <c r="O402" s="41"/>
    </row>
    <row r="403" ht="15.75" customHeight="1">
      <c r="O403" s="41"/>
    </row>
    <row r="404" ht="15.75" customHeight="1">
      <c r="O404" s="41"/>
    </row>
    <row r="405" ht="15.75" customHeight="1">
      <c r="O405" s="41"/>
    </row>
    <row r="406" ht="15.75" customHeight="1">
      <c r="O406" s="41"/>
    </row>
    <row r="407" ht="15.75" customHeight="1">
      <c r="O407" s="41"/>
    </row>
    <row r="408" ht="15.75" customHeight="1">
      <c r="O408" s="41"/>
    </row>
    <row r="409" ht="15.75" customHeight="1">
      <c r="O409" s="41"/>
    </row>
    <row r="410" ht="15.75" customHeight="1">
      <c r="O410" s="41"/>
    </row>
    <row r="411" ht="15.75" customHeight="1">
      <c r="O411" s="41"/>
    </row>
    <row r="412" ht="15.75" customHeight="1">
      <c r="O412" s="41"/>
    </row>
    <row r="413" ht="15.75" customHeight="1">
      <c r="O413" s="41"/>
    </row>
    <row r="414" ht="15.75" customHeight="1">
      <c r="O414" s="41"/>
    </row>
    <row r="415" ht="15.75" customHeight="1">
      <c r="O415" s="41"/>
    </row>
    <row r="416" ht="15.75" customHeight="1">
      <c r="O416" s="41"/>
    </row>
    <row r="417" ht="15.75" customHeight="1">
      <c r="O417" s="41"/>
    </row>
    <row r="418" ht="15.75" customHeight="1">
      <c r="O418" s="41"/>
    </row>
    <row r="419" ht="15.75" customHeight="1">
      <c r="O419" s="41"/>
    </row>
    <row r="420" ht="15.75" customHeight="1">
      <c r="O420" s="41"/>
    </row>
    <row r="421" ht="15.75" customHeight="1">
      <c r="O421" s="41"/>
    </row>
    <row r="422" ht="15.75" customHeight="1">
      <c r="O422" s="41"/>
    </row>
    <row r="423" ht="15.75" customHeight="1">
      <c r="O423" s="41"/>
    </row>
    <row r="424" ht="15.75" customHeight="1">
      <c r="O424" s="41"/>
    </row>
    <row r="425" ht="15.75" customHeight="1">
      <c r="O425" s="41"/>
    </row>
    <row r="426" ht="15.75" customHeight="1">
      <c r="O426" s="41"/>
    </row>
    <row r="427" ht="15.75" customHeight="1">
      <c r="O427" s="41"/>
    </row>
    <row r="428" ht="15.75" customHeight="1">
      <c r="O428" s="41"/>
    </row>
    <row r="429" ht="15.75" customHeight="1">
      <c r="O429" s="41"/>
    </row>
    <row r="430" ht="15.75" customHeight="1">
      <c r="O430" s="41"/>
    </row>
    <row r="431" ht="15.75" customHeight="1">
      <c r="O431" s="41"/>
    </row>
    <row r="432" ht="15.75" customHeight="1">
      <c r="O432" s="41"/>
    </row>
    <row r="433" ht="15.75" customHeight="1">
      <c r="O433" s="41"/>
    </row>
    <row r="434" ht="15.75" customHeight="1">
      <c r="O434" s="41"/>
    </row>
    <row r="435" ht="15.75" customHeight="1">
      <c r="O435" s="41"/>
    </row>
    <row r="436" ht="15.75" customHeight="1">
      <c r="O436" s="41"/>
    </row>
    <row r="437" ht="15.75" customHeight="1">
      <c r="O437" s="41"/>
    </row>
    <row r="438" ht="15.75" customHeight="1">
      <c r="O438" s="41"/>
    </row>
    <row r="439" ht="15.75" customHeight="1">
      <c r="O439" s="41"/>
    </row>
    <row r="440" ht="15.75" customHeight="1">
      <c r="O440" s="41"/>
    </row>
    <row r="441" ht="15.75" customHeight="1">
      <c r="O441" s="41"/>
    </row>
    <row r="442" ht="15.75" customHeight="1">
      <c r="O442" s="41"/>
    </row>
    <row r="443" ht="15.75" customHeight="1">
      <c r="O443" s="41"/>
    </row>
    <row r="444" ht="15.75" customHeight="1">
      <c r="O444" s="41"/>
    </row>
    <row r="445" ht="15.75" customHeight="1">
      <c r="O445" s="41"/>
    </row>
    <row r="446" ht="15.75" customHeight="1">
      <c r="O446" s="41"/>
    </row>
    <row r="447" ht="15.75" customHeight="1">
      <c r="O447" s="41"/>
    </row>
    <row r="448" ht="15.75" customHeight="1">
      <c r="O448" s="41"/>
    </row>
    <row r="449" ht="15.75" customHeight="1">
      <c r="O449" s="41"/>
    </row>
    <row r="450" ht="15.75" customHeight="1">
      <c r="O450" s="41"/>
    </row>
    <row r="451" ht="15.75" customHeight="1">
      <c r="O451" s="41"/>
    </row>
    <row r="452" ht="15.75" customHeight="1">
      <c r="O452" s="41"/>
    </row>
    <row r="453" ht="15.75" customHeight="1">
      <c r="O453" s="41"/>
    </row>
    <row r="454" ht="15.75" customHeight="1">
      <c r="O454" s="41"/>
    </row>
    <row r="455" ht="15.75" customHeight="1">
      <c r="O455" s="41"/>
    </row>
    <row r="456" ht="15.75" customHeight="1">
      <c r="O456" s="41"/>
    </row>
    <row r="457" ht="15.75" customHeight="1">
      <c r="O457" s="41"/>
    </row>
    <row r="458" ht="15.75" customHeight="1">
      <c r="O458" s="41"/>
    </row>
    <row r="459" ht="15.75" customHeight="1">
      <c r="O459" s="41"/>
    </row>
    <row r="460" ht="15.75" customHeight="1">
      <c r="O460" s="41"/>
    </row>
    <row r="461" ht="15.75" customHeight="1">
      <c r="O461" s="41"/>
    </row>
    <row r="462" ht="15.75" customHeight="1">
      <c r="O462" s="41"/>
    </row>
    <row r="463" ht="15.75" customHeight="1">
      <c r="O463" s="41"/>
    </row>
    <row r="464" ht="15.75" customHeight="1">
      <c r="O464" s="41"/>
    </row>
    <row r="465" ht="15.75" customHeight="1">
      <c r="O465" s="41"/>
    </row>
    <row r="466" ht="15.75" customHeight="1">
      <c r="O466" s="41"/>
    </row>
    <row r="467" ht="15.75" customHeight="1">
      <c r="O467" s="41"/>
    </row>
    <row r="468" ht="15.75" customHeight="1">
      <c r="O468" s="41"/>
    </row>
    <row r="469" ht="15.75" customHeight="1">
      <c r="O469" s="41"/>
    </row>
    <row r="470" ht="15.75" customHeight="1">
      <c r="O470" s="41"/>
    </row>
    <row r="471" ht="15.75" customHeight="1">
      <c r="O471" s="41"/>
    </row>
    <row r="472" ht="15.75" customHeight="1">
      <c r="O472" s="41"/>
    </row>
    <row r="473" ht="15.75" customHeight="1">
      <c r="O473" s="41"/>
    </row>
    <row r="474" ht="15.75" customHeight="1">
      <c r="O474" s="41"/>
    </row>
    <row r="475" ht="15.75" customHeight="1">
      <c r="O475" s="41"/>
    </row>
    <row r="476" ht="15.75" customHeight="1">
      <c r="O476" s="41"/>
    </row>
    <row r="477" ht="15.75" customHeight="1">
      <c r="O477" s="41"/>
    </row>
    <row r="478" ht="15.75" customHeight="1">
      <c r="O478" s="41"/>
    </row>
    <row r="479" ht="15.75" customHeight="1">
      <c r="O479" s="41"/>
    </row>
    <row r="480" ht="15.75" customHeight="1">
      <c r="O480" s="41"/>
    </row>
    <row r="481" ht="15.75" customHeight="1">
      <c r="O481" s="41"/>
    </row>
    <row r="482" ht="15.75" customHeight="1">
      <c r="O482" s="41"/>
    </row>
    <row r="483" ht="15.75" customHeight="1">
      <c r="O483" s="41"/>
    </row>
    <row r="484" ht="15.75" customHeight="1">
      <c r="O484" s="41"/>
    </row>
    <row r="485" ht="15.75" customHeight="1">
      <c r="O485" s="41"/>
    </row>
    <row r="486" ht="15.75" customHeight="1">
      <c r="O486" s="41"/>
    </row>
    <row r="487" ht="15.75" customHeight="1">
      <c r="O487" s="41"/>
    </row>
    <row r="488" ht="15.75" customHeight="1">
      <c r="O488" s="41"/>
    </row>
    <row r="489" ht="15.75" customHeight="1">
      <c r="O489" s="41"/>
    </row>
    <row r="490" ht="15.75" customHeight="1">
      <c r="O490" s="41"/>
    </row>
    <row r="491" ht="15.75" customHeight="1">
      <c r="O491" s="41"/>
    </row>
    <row r="492" ht="15.75" customHeight="1">
      <c r="O492" s="41"/>
    </row>
    <row r="493" ht="15.75" customHeight="1">
      <c r="O493" s="41"/>
    </row>
    <row r="494" ht="15.75" customHeight="1">
      <c r="O494" s="41"/>
    </row>
    <row r="495" ht="15.75" customHeight="1">
      <c r="O495" s="41"/>
    </row>
    <row r="496" ht="15.75" customHeight="1">
      <c r="O496" s="41"/>
    </row>
    <row r="497" ht="15.75" customHeight="1">
      <c r="O497" s="41"/>
    </row>
    <row r="498" ht="15.75" customHeight="1">
      <c r="O498" s="41"/>
    </row>
    <row r="499" ht="15.75" customHeight="1">
      <c r="O499" s="41"/>
    </row>
    <row r="500" ht="15.75" customHeight="1">
      <c r="O500" s="41"/>
    </row>
    <row r="501" ht="15.75" customHeight="1">
      <c r="O501" s="41"/>
    </row>
    <row r="502" ht="15.75" customHeight="1">
      <c r="O502" s="41"/>
    </row>
    <row r="503" ht="15.75" customHeight="1">
      <c r="O503" s="41"/>
    </row>
    <row r="504" ht="15.75" customHeight="1">
      <c r="O504" s="41"/>
    </row>
    <row r="505" ht="15.75" customHeight="1">
      <c r="O505" s="41"/>
    </row>
    <row r="506" ht="15.75" customHeight="1">
      <c r="O506" s="41"/>
    </row>
    <row r="507" ht="15.75" customHeight="1">
      <c r="O507" s="41"/>
    </row>
    <row r="508" ht="15.75" customHeight="1">
      <c r="O508" s="41"/>
    </row>
    <row r="509" ht="15.75" customHeight="1">
      <c r="O509" s="41"/>
    </row>
    <row r="510" ht="15.75" customHeight="1">
      <c r="O510" s="41"/>
    </row>
    <row r="511" ht="15.75" customHeight="1">
      <c r="O511" s="41"/>
    </row>
    <row r="512" ht="15.75" customHeight="1">
      <c r="O512" s="41"/>
    </row>
    <row r="513" ht="15.75" customHeight="1">
      <c r="O513" s="41"/>
    </row>
    <row r="514" ht="15.75" customHeight="1">
      <c r="O514" s="41"/>
    </row>
    <row r="515" ht="15.75" customHeight="1">
      <c r="O515" s="41"/>
    </row>
    <row r="516" ht="15.75" customHeight="1">
      <c r="O516" s="41"/>
    </row>
    <row r="517" ht="15.75" customHeight="1">
      <c r="O517" s="41"/>
    </row>
    <row r="518" ht="15.75" customHeight="1">
      <c r="O518" s="41"/>
    </row>
    <row r="519" ht="15.75" customHeight="1">
      <c r="O519" s="41"/>
    </row>
    <row r="520" ht="15.75" customHeight="1">
      <c r="O520" s="41"/>
    </row>
    <row r="521" ht="15.75" customHeight="1">
      <c r="O521" s="41"/>
    </row>
    <row r="522" ht="15.75" customHeight="1">
      <c r="O522" s="41"/>
    </row>
    <row r="523" ht="15.75" customHeight="1">
      <c r="O523" s="41"/>
    </row>
    <row r="524" ht="15.75" customHeight="1">
      <c r="O524" s="41"/>
    </row>
    <row r="525" ht="15.75" customHeight="1">
      <c r="O525" s="41"/>
    </row>
    <row r="526" ht="15.75" customHeight="1">
      <c r="O526" s="41"/>
    </row>
    <row r="527" ht="15.75" customHeight="1">
      <c r="O527" s="41"/>
    </row>
    <row r="528" ht="15.75" customHeight="1">
      <c r="O528" s="41"/>
    </row>
    <row r="529" ht="15.75" customHeight="1">
      <c r="O529" s="41"/>
    </row>
    <row r="530" ht="15.75" customHeight="1">
      <c r="O530" s="41"/>
    </row>
    <row r="531" ht="15.75" customHeight="1">
      <c r="O531" s="41"/>
    </row>
    <row r="532" ht="15.75" customHeight="1">
      <c r="O532" s="41"/>
    </row>
    <row r="533" ht="15.75" customHeight="1">
      <c r="O533" s="41"/>
    </row>
    <row r="534" ht="15.75" customHeight="1">
      <c r="O534" s="41"/>
    </row>
    <row r="535" ht="15.75" customHeight="1">
      <c r="O535" s="41"/>
    </row>
    <row r="536" ht="15.75" customHeight="1">
      <c r="O536" s="41"/>
    </row>
    <row r="537" ht="15.75" customHeight="1">
      <c r="O537" s="41"/>
    </row>
    <row r="538" ht="15.75" customHeight="1">
      <c r="O538" s="41"/>
    </row>
    <row r="539" ht="15.75" customHeight="1">
      <c r="O539" s="41"/>
    </row>
    <row r="540" ht="15.75" customHeight="1">
      <c r="O540" s="41"/>
    </row>
    <row r="541" ht="15.75" customHeight="1">
      <c r="O541" s="41"/>
    </row>
    <row r="542" ht="15.75" customHeight="1">
      <c r="O542" s="41"/>
    </row>
    <row r="543" ht="15.75" customHeight="1">
      <c r="O543" s="41"/>
    </row>
    <row r="544" ht="15.75" customHeight="1">
      <c r="O544" s="41"/>
    </row>
    <row r="545" ht="15.75" customHeight="1">
      <c r="O545" s="41"/>
    </row>
    <row r="546" ht="15.75" customHeight="1">
      <c r="O546" s="41"/>
    </row>
    <row r="547" ht="15.75" customHeight="1">
      <c r="O547" s="41"/>
    </row>
    <row r="548" ht="15.75" customHeight="1">
      <c r="O548" s="41"/>
    </row>
    <row r="549" ht="15.75" customHeight="1">
      <c r="O549" s="41"/>
    </row>
    <row r="550" ht="15.75" customHeight="1">
      <c r="O550" s="41"/>
    </row>
    <row r="551" ht="15.75" customHeight="1">
      <c r="O551" s="41"/>
    </row>
    <row r="552" ht="15.75" customHeight="1">
      <c r="O552" s="41"/>
    </row>
    <row r="553" ht="15.75" customHeight="1">
      <c r="O553" s="41"/>
    </row>
    <row r="554" ht="15.75" customHeight="1">
      <c r="O554" s="41"/>
    </row>
    <row r="555" ht="15.75" customHeight="1">
      <c r="O555" s="41"/>
    </row>
    <row r="556" ht="15.75" customHeight="1">
      <c r="O556" s="41"/>
    </row>
    <row r="557" ht="15.75" customHeight="1">
      <c r="O557" s="41"/>
    </row>
    <row r="558" ht="15.75" customHeight="1">
      <c r="O558" s="41"/>
    </row>
    <row r="559" ht="15.75" customHeight="1">
      <c r="O559" s="41"/>
    </row>
    <row r="560" ht="15.75" customHeight="1">
      <c r="O560" s="41"/>
    </row>
    <row r="561" ht="15.75" customHeight="1">
      <c r="O561" s="41"/>
    </row>
    <row r="562" ht="15.75" customHeight="1">
      <c r="O562" s="41"/>
    </row>
    <row r="563" ht="15.75" customHeight="1">
      <c r="O563" s="41"/>
    </row>
    <row r="564" ht="15.75" customHeight="1">
      <c r="O564" s="41"/>
    </row>
    <row r="565" ht="15.75" customHeight="1">
      <c r="O565" s="41"/>
    </row>
    <row r="566" ht="15.75" customHeight="1">
      <c r="O566" s="41"/>
    </row>
    <row r="567" ht="15.75" customHeight="1">
      <c r="O567" s="41"/>
    </row>
    <row r="568" ht="15.75" customHeight="1">
      <c r="O568" s="41"/>
    </row>
    <row r="569" ht="15.75" customHeight="1">
      <c r="O569" s="41"/>
    </row>
    <row r="570" ht="15.75" customHeight="1">
      <c r="O570" s="41"/>
    </row>
    <row r="571" ht="15.75" customHeight="1">
      <c r="O571" s="41"/>
    </row>
    <row r="572" ht="15.75" customHeight="1">
      <c r="O572" s="41"/>
    </row>
    <row r="573" ht="15.75" customHeight="1">
      <c r="O573" s="41"/>
    </row>
    <row r="574" ht="15.75" customHeight="1">
      <c r="O574" s="41"/>
    </row>
    <row r="575" ht="15.75" customHeight="1">
      <c r="O575" s="41"/>
    </row>
    <row r="576" ht="15.75" customHeight="1">
      <c r="O576" s="41"/>
    </row>
    <row r="577" ht="15.75" customHeight="1">
      <c r="O577" s="41"/>
    </row>
    <row r="578" ht="15.75" customHeight="1">
      <c r="O578" s="41"/>
    </row>
    <row r="579" ht="15.75" customHeight="1">
      <c r="O579" s="41"/>
    </row>
    <row r="580" ht="15.75" customHeight="1">
      <c r="O580" s="41"/>
    </row>
    <row r="581" ht="15.75" customHeight="1">
      <c r="O581" s="41"/>
    </row>
    <row r="582" ht="15.75" customHeight="1">
      <c r="O582" s="41"/>
    </row>
    <row r="583" ht="15.75" customHeight="1">
      <c r="O583" s="41"/>
    </row>
    <row r="584" ht="15.75" customHeight="1">
      <c r="O584" s="41"/>
    </row>
    <row r="585" ht="15.75" customHeight="1">
      <c r="O585" s="41"/>
    </row>
    <row r="586" ht="15.75" customHeight="1">
      <c r="O586" s="41"/>
    </row>
    <row r="587" ht="15.75" customHeight="1">
      <c r="O587" s="41"/>
    </row>
    <row r="588" ht="15.75" customHeight="1">
      <c r="O588" s="41"/>
    </row>
    <row r="589" ht="15.75" customHeight="1">
      <c r="O589" s="41"/>
    </row>
    <row r="590" ht="15.75" customHeight="1">
      <c r="O590" s="41"/>
    </row>
    <row r="591" ht="15.75" customHeight="1">
      <c r="O591" s="41"/>
    </row>
    <row r="592" ht="15.75" customHeight="1">
      <c r="O592" s="41"/>
    </row>
    <row r="593" ht="15.75" customHeight="1">
      <c r="O593" s="41"/>
    </row>
    <row r="594" ht="15.75" customHeight="1">
      <c r="O594" s="41"/>
    </row>
    <row r="595" ht="15.75" customHeight="1">
      <c r="O595" s="41"/>
    </row>
    <row r="596" ht="15.75" customHeight="1">
      <c r="O596" s="41"/>
    </row>
    <row r="597" ht="15.75" customHeight="1">
      <c r="O597" s="41"/>
    </row>
    <row r="598" ht="15.75" customHeight="1">
      <c r="O598" s="41"/>
    </row>
    <row r="599" ht="15.75" customHeight="1">
      <c r="O599" s="41"/>
    </row>
    <row r="600" ht="15.75" customHeight="1">
      <c r="O600" s="41"/>
    </row>
    <row r="601" ht="15.75" customHeight="1">
      <c r="O601" s="41"/>
    </row>
    <row r="602" ht="15.75" customHeight="1">
      <c r="O602" s="41"/>
    </row>
    <row r="603" ht="15.75" customHeight="1">
      <c r="O603" s="41"/>
    </row>
    <row r="604" ht="15.75" customHeight="1">
      <c r="O604" s="41"/>
    </row>
    <row r="605" ht="15.75" customHeight="1">
      <c r="O605" s="41"/>
    </row>
    <row r="606" ht="15.75" customHeight="1">
      <c r="O606" s="41"/>
    </row>
    <row r="607" ht="15.75" customHeight="1">
      <c r="O607" s="41"/>
    </row>
    <row r="608" ht="15.75" customHeight="1">
      <c r="O608" s="41"/>
    </row>
    <row r="609" ht="15.75" customHeight="1">
      <c r="O609" s="41"/>
    </row>
    <row r="610" ht="15.75" customHeight="1">
      <c r="O610" s="41"/>
    </row>
    <row r="611" ht="15.75" customHeight="1">
      <c r="O611" s="41"/>
    </row>
    <row r="612" ht="15.75" customHeight="1">
      <c r="O612" s="41"/>
    </row>
    <row r="613" ht="15.75" customHeight="1">
      <c r="O613" s="41"/>
    </row>
    <row r="614" ht="15.75" customHeight="1">
      <c r="O614" s="41"/>
    </row>
    <row r="615" ht="15.75" customHeight="1">
      <c r="O615" s="41"/>
    </row>
    <row r="616" ht="15.75" customHeight="1">
      <c r="O616" s="41"/>
    </row>
    <row r="617" ht="15.75" customHeight="1">
      <c r="O617" s="41"/>
    </row>
    <row r="618" ht="15.75" customHeight="1">
      <c r="O618" s="41"/>
    </row>
    <row r="619" ht="15.75" customHeight="1">
      <c r="O619" s="41"/>
    </row>
    <row r="620" ht="15.75" customHeight="1">
      <c r="O620" s="41"/>
    </row>
    <row r="621" ht="15.75" customHeight="1">
      <c r="O621" s="41"/>
    </row>
    <row r="622" ht="15.75" customHeight="1">
      <c r="O622" s="41"/>
    </row>
    <row r="623" ht="15.75" customHeight="1">
      <c r="O623" s="41"/>
    </row>
    <row r="624" ht="15.75" customHeight="1">
      <c r="O624" s="41"/>
    </row>
    <row r="625" ht="15.75" customHeight="1">
      <c r="O625" s="41"/>
    </row>
    <row r="626" ht="15.75" customHeight="1">
      <c r="O626" s="41"/>
    </row>
    <row r="627" ht="15.75" customHeight="1">
      <c r="O627" s="41"/>
    </row>
    <row r="628" ht="15.75" customHeight="1">
      <c r="O628" s="41"/>
    </row>
    <row r="629" ht="15.75" customHeight="1">
      <c r="O629" s="41"/>
    </row>
    <row r="630" ht="15.75" customHeight="1">
      <c r="O630" s="41"/>
    </row>
    <row r="631" ht="15.75" customHeight="1">
      <c r="O631" s="41"/>
    </row>
    <row r="632" ht="15.75" customHeight="1">
      <c r="O632" s="41"/>
    </row>
    <row r="633" ht="15.75" customHeight="1">
      <c r="O633" s="41"/>
    </row>
    <row r="634" ht="15.75" customHeight="1">
      <c r="O634" s="41"/>
    </row>
    <row r="635" ht="15.75" customHeight="1">
      <c r="O635" s="41"/>
    </row>
    <row r="636" ht="15.75" customHeight="1">
      <c r="O636" s="41"/>
    </row>
    <row r="637" ht="15.75" customHeight="1">
      <c r="O637" s="41"/>
    </row>
    <row r="638" ht="15.75" customHeight="1">
      <c r="O638" s="41"/>
    </row>
    <row r="639" ht="15.75" customHeight="1">
      <c r="O639" s="41"/>
    </row>
    <row r="640" ht="15.75" customHeight="1">
      <c r="O640" s="41"/>
    </row>
    <row r="641" ht="15.75" customHeight="1">
      <c r="O641" s="41"/>
    </row>
    <row r="642" ht="15.75" customHeight="1">
      <c r="O642" s="41"/>
    </row>
    <row r="643" ht="15.75" customHeight="1">
      <c r="O643" s="41"/>
    </row>
    <row r="644" ht="15.75" customHeight="1">
      <c r="O644" s="41"/>
    </row>
    <row r="645" ht="15.75" customHeight="1">
      <c r="O645" s="41"/>
    </row>
    <row r="646" ht="15.75" customHeight="1">
      <c r="O646" s="41"/>
    </row>
    <row r="647" ht="15.75" customHeight="1">
      <c r="O647" s="41"/>
    </row>
    <row r="648" ht="15.75" customHeight="1">
      <c r="O648" s="41"/>
    </row>
    <row r="649" ht="15.75" customHeight="1">
      <c r="O649" s="41"/>
    </row>
    <row r="650" ht="15.75" customHeight="1">
      <c r="O650" s="41"/>
    </row>
    <row r="651" ht="15.75" customHeight="1">
      <c r="O651" s="41"/>
    </row>
    <row r="652" ht="15.75" customHeight="1">
      <c r="O652" s="41"/>
    </row>
    <row r="653" ht="15.75" customHeight="1">
      <c r="O653" s="41"/>
    </row>
    <row r="654" ht="15.75" customHeight="1">
      <c r="O654" s="41"/>
    </row>
    <row r="655" ht="15.75" customHeight="1">
      <c r="O655" s="41"/>
    </row>
    <row r="656" ht="15.75" customHeight="1">
      <c r="O656" s="41"/>
    </row>
    <row r="657" ht="15.75" customHeight="1">
      <c r="O657" s="41"/>
    </row>
    <row r="658" ht="15.75" customHeight="1">
      <c r="O658" s="41"/>
    </row>
    <row r="659" ht="15.75" customHeight="1">
      <c r="O659" s="41"/>
    </row>
    <row r="660" ht="15.75" customHeight="1">
      <c r="O660" s="41"/>
    </row>
    <row r="661" ht="15.75" customHeight="1">
      <c r="O661" s="41"/>
    </row>
    <row r="662" ht="15.75" customHeight="1">
      <c r="O662" s="41"/>
    </row>
    <row r="663" ht="15.75" customHeight="1">
      <c r="O663" s="41"/>
    </row>
    <row r="664" ht="15.75" customHeight="1">
      <c r="O664" s="41"/>
    </row>
    <row r="665" ht="15.75" customHeight="1">
      <c r="O665" s="41"/>
    </row>
    <row r="666" ht="15.75" customHeight="1">
      <c r="O666" s="41"/>
    </row>
    <row r="667" ht="15.75" customHeight="1">
      <c r="O667" s="41"/>
    </row>
    <row r="668" ht="15.75" customHeight="1">
      <c r="O668" s="41"/>
    </row>
    <row r="669" ht="15.75" customHeight="1">
      <c r="O669" s="41"/>
    </row>
    <row r="670" ht="15.75" customHeight="1">
      <c r="O670" s="41"/>
    </row>
    <row r="671" ht="15.75" customHeight="1">
      <c r="O671" s="41"/>
    </row>
    <row r="672" ht="15.75" customHeight="1">
      <c r="O672" s="41"/>
    </row>
    <row r="673" ht="15.75" customHeight="1">
      <c r="O673" s="41"/>
    </row>
    <row r="674" ht="15.75" customHeight="1">
      <c r="O674" s="41"/>
    </row>
    <row r="675" ht="15.75" customHeight="1">
      <c r="O675" s="41"/>
    </row>
    <row r="676" ht="15.75" customHeight="1">
      <c r="O676" s="41"/>
    </row>
    <row r="677" ht="15.75" customHeight="1">
      <c r="O677" s="41"/>
    </row>
    <row r="678" ht="15.75" customHeight="1">
      <c r="O678" s="41"/>
    </row>
    <row r="679" ht="15.75" customHeight="1">
      <c r="O679" s="41"/>
    </row>
    <row r="680" ht="15.75" customHeight="1">
      <c r="O680" s="41"/>
    </row>
    <row r="681" ht="15.75" customHeight="1">
      <c r="O681" s="41"/>
    </row>
    <row r="682" ht="15.75" customHeight="1">
      <c r="O682" s="41"/>
    </row>
    <row r="683" ht="15.75" customHeight="1">
      <c r="O683" s="41"/>
    </row>
    <row r="684" ht="15.75" customHeight="1">
      <c r="O684" s="41"/>
    </row>
    <row r="685" ht="15.75" customHeight="1">
      <c r="O685" s="41"/>
    </row>
    <row r="686" ht="15.75" customHeight="1">
      <c r="O686" s="41"/>
    </row>
    <row r="687" ht="15.75" customHeight="1">
      <c r="O687" s="41"/>
    </row>
    <row r="688" ht="15.75" customHeight="1">
      <c r="O688" s="41"/>
    </row>
    <row r="689" ht="15.75" customHeight="1">
      <c r="O689" s="41"/>
    </row>
    <row r="690" ht="15.75" customHeight="1">
      <c r="O690" s="41"/>
    </row>
    <row r="691" ht="15.75" customHeight="1">
      <c r="O691" s="41"/>
    </row>
    <row r="692" ht="15.75" customHeight="1">
      <c r="O692" s="41"/>
    </row>
    <row r="693" ht="15.75" customHeight="1">
      <c r="O693" s="41"/>
    </row>
    <row r="694" ht="15.75" customHeight="1">
      <c r="O694" s="41"/>
    </row>
    <row r="695" ht="15.75" customHeight="1">
      <c r="O695" s="41"/>
    </row>
    <row r="696" ht="15.75" customHeight="1">
      <c r="O696" s="41"/>
    </row>
    <row r="697" ht="15.75" customHeight="1">
      <c r="O697" s="41"/>
    </row>
    <row r="698" ht="15.75" customHeight="1">
      <c r="O698" s="41"/>
    </row>
    <row r="699" ht="15.75" customHeight="1">
      <c r="O699" s="41"/>
    </row>
    <row r="700" ht="15.75" customHeight="1">
      <c r="O700" s="41"/>
    </row>
    <row r="701" ht="15.75" customHeight="1">
      <c r="O701" s="41"/>
    </row>
    <row r="702" ht="15.75" customHeight="1">
      <c r="O702" s="41"/>
    </row>
    <row r="703" ht="15.75" customHeight="1">
      <c r="O703" s="41"/>
    </row>
    <row r="704" ht="15.75" customHeight="1">
      <c r="O704" s="41"/>
    </row>
    <row r="705" ht="15.75" customHeight="1">
      <c r="O705" s="41"/>
    </row>
    <row r="706" ht="15.75" customHeight="1">
      <c r="O706" s="41"/>
    </row>
    <row r="707" ht="15.75" customHeight="1">
      <c r="O707" s="41"/>
    </row>
    <row r="708" ht="15.75" customHeight="1">
      <c r="O708" s="41"/>
    </row>
    <row r="709" ht="15.75" customHeight="1">
      <c r="O709" s="41"/>
    </row>
    <row r="710" ht="15.75" customHeight="1">
      <c r="O710" s="41"/>
    </row>
    <row r="711" ht="15.75" customHeight="1">
      <c r="O711" s="41"/>
    </row>
    <row r="712" ht="15.75" customHeight="1">
      <c r="O712" s="41"/>
    </row>
    <row r="713" ht="15.75" customHeight="1">
      <c r="O713" s="41"/>
    </row>
    <row r="714" ht="15.75" customHeight="1">
      <c r="O714" s="41"/>
    </row>
    <row r="715" ht="15.75" customHeight="1">
      <c r="O715" s="41"/>
    </row>
    <row r="716" ht="15.75" customHeight="1">
      <c r="O716" s="41"/>
    </row>
    <row r="717" ht="15.75" customHeight="1">
      <c r="O717" s="41"/>
    </row>
    <row r="718" ht="15.75" customHeight="1">
      <c r="O718" s="41"/>
    </row>
    <row r="719" ht="15.75" customHeight="1">
      <c r="O719" s="41"/>
    </row>
    <row r="720" ht="15.75" customHeight="1">
      <c r="O720" s="41"/>
    </row>
    <row r="721" ht="15.75" customHeight="1">
      <c r="O721" s="41"/>
    </row>
    <row r="722" ht="15.75" customHeight="1">
      <c r="O722" s="41"/>
    </row>
    <row r="723" ht="15.75" customHeight="1">
      <c r="O723" s="41"/>
    </row>
    <row r="724" ht="15.75" customHeight="1">
      <c r="O724" s="41"/>
    </row>
    <row r="725" ht="15.75" customHeight="1">
      <c r="O725" s="41"/>
    </row>
    <row r="726" ht="15.75" customHeight="1">
      <c r="O726" s="41"/>
    </row>
    <row r="727" ht="15.75" customHeight="1">
      <c r="O727" s="41"/>
    </row>
    <row r="728" ht="15.75" customHeight="1">
      <c r="O728" s="41"/>
    </row>
    <row r="729" ht="15.75" customHeight="1">
      <c r="O729" s="41"/>
    </row>
    <row r="730" ht="15.75" customHeight="1">
      <c r="O730" s="41"/>
    </row>
    <row r="731" ht="15.75" customHeight="1">
      <c r="O731" s="41"/>
    </row>
    <row r="732" ht="15.75" customHeight="1">
      <c r="O732" s="41"/>
    </row>
    <row r="733" ht="15.75" customHeight="1">
      <c r="O733" s="41"/>
    </row>
    <row r="734" ht="15.75" customHeight="1">
      <c r="O734" s="41"/>
    </row>
    <row r="735" ht="15.75" customHeight="1">
      <c r="O735" s="41"/>
    </row>
    <row r="736" ht="15.75" customHeight="1">
      <c r="O736" s="41"/>
    </row>
    <row r="737" ht="15.75" customHeight="1">
      <c r="O737" s="41"/>
    </row>
    <row r="738" ht="15.75" customHeight="1">
      <c r="O738" s="41"/>
    </row>
    <row r="739" ht="15.75" customHeight="1">
      <c r="O739" s="41"/>
    </row>
    <row r="740" ht="15.75" customHeight="1">
      <c r="O740" s="41"/>
    </row>
    <row r="741" ht="15.75" customHeight="1">
      <c r="O741" s="41"/>
    </row>
    <row r="742" ht="15.75" customHeight="1">
      <c r="O742" s="41"/>
    </row>
    <row r="743" ht="15.75" customHeight="1">
      <c r="O743" s="41"/>
    </row>
    <row r="744" ht="15.75" customHeight="1">
      <c r="O744" s="41"/>
    </row>
    <row r="745" ht="15.75" customHeight="1">
      <c r="O745" s="41"/>
    </row>
    <row r="746" ht="15.75" customHeight="1">
      <c r="O746" s="41"/>
    </row>
    <row r="747" ht="15.75" customHeight="1">
      <c r="O747" s="41"/>
    </row>
    <row r="748" ht="15.75" customHeight="1">
      <c r="O748" s="41"/>
    </row>
    <row r="749" ht="15.75" customHeight="1">
      <c r="O749" s="41"/>
    </row>
    <row r="750" ht="15.75" customHeight="1">
      <c r="O750" s="41"/>
    </row>
    <row r="751" ht="15.75" customHeight="1">
      <c r="O751" s="41"/>
    </row>
    <row r="752" ht="15.75" customHeight="1">
      <c r="O752" s="41"/>
    </row>
    <row r="753" ht="15.75" customHeight="1">
      <c r="O753" s="41"/>
    </row>
    <row r="754" ht="15.75" customHeight="1">
      <c r="O754" s="41"/>
    </row>
    <row r="755" ht="15.75" customHeight="1">
      <c r="O755" s="41"/>
    </row>
    <row r="756" ht="15.75" customHeight="1">
      <c r="O756" s="41"/>
    </row>
    <row r="757" ht="15.75" customHeight="1">
      <c r="O757" s="41"/>
    </row>
    <row r="758" ht="15.75" customHeight="1">
      <c r="O758" s="41"/>
    </row>
    <row r="759" ht="15.75" customHeight="1">
      <c r="O759" s="41"/>
    </row>
    <row r="760" ht="15.75" customHeight="1">
      <c r="O760" s="41"/>
    </row>
    <row r="761" ht="15.75" customHeight="1">
      <c r="O761" s="41"/>
    </row>
    <row r="762" ht="15.75" customHeight="1">
      <c r="O762" s="41"/>
    </row>
    <row r="763" ht="15.75" customHeight="1">
      <c r="O763" s="41"/>
    </row>
    <row r="764" ht="15.75" customHeight="1">
      <c r="O764" s="41"/>
    </row>
    <row r="765" ht="15.75" customHeight="1">
      <c r="O765" s="41"/>
    </row>
    <row r="766" ht="15.75" customHeight="1">
      <c r="O766" s="41"/>
    </row>
    <row r="767" ht="15.75" customHeight="1">
      <c r="O767" s="41"/>
    </row>
    <row r="768" ht="15.75" customHeight="1">
      <c r="O768" s="41"/>
    </row>
    <row r="769" ht="15.75" customHeight="1">
      <c r="O769" s="41"/>
    </row>
    <row r="770" ht="15.75" customHeight="1">
      <c r="O770" s="41"/>
    </row>
    <row r="771" ht="15.75" customHeight="1">
      <c r="O771" s="41"/>
    </row>
    <row r="772" ht="15.75" customHeight="1">
      <c r="O772" s="41"/>
    </row>
    <row r="773" ht="15.75" customHeight="1">
      <c r="O773" s="41"/>
    </row>
    <row r="774" ht="15.75" customHeight="1">
      <c r="O774" s="41"/>
    </row>
    <row r="775" ht="15.75" customHeight="1">
      <c r="O775" s="41"/>
    </row>
    <row r="776" ht="15.75" customHeight="1">
      <c r="O776" s="41"/>
    </row>
    <row r="777" ht="15.75" customHeight="1">
      <c r="O777" s="41"/>
    </row>
    <row r="778" ht="15.75" customHeight="1">
      <c r="O778" s="41"/>
    </row>
    <row r="779" ht="15.75" customHeight="1">
      <c r="O779" s="41"/>
    </row>
    <row r="780" ht="15.75" customHeight="1">
      <c r="O780" s="41"/>
    </row>
    <row r="781" ht="15.75" customHeight="1">
      <c r="O781" s="41"/>
    </row>
    <row r="782" ht="15.75" customHeight="1">
      <c r="O782" s="41"/>
    </row>
    <row r="783" ht="15.75" customHeight="1">
      <c r="O783" s="41"/>
    </row>
    <row r="784" ht="15.75" customHeight="1">
      <c r="O784" s="41"/>
    </row>
    <row r="785" ht="15.75" customHeight="1">
      <c r="O785" s="41"/>
    </row>
    <row r="786" ht="15.75" customHeight="1">
      <c r="O786" s="41"/>
    </row>
    <row r="787" ht="15.75" customHeight="1">
      <c r="O787" s="41"/>
    </row>
    <row r="788" ht="15.75" customHeight="1">
      <c r="O788" s="41"/>
    </row>
    <row r="789" ht="15.75" customHeight="1">
      <c r="O789" s="41"/>
    </row>
    <row r="790" ht="15.75" customHeight="1">
      <c r="O790" s="41"/>
    </row>
    <row r="791" ht="15.75" customHeight="1">
      <c r="O791" s="41"/>
    </row>
    <row r="792" ht="15.75" customHeight="1">
      <c r="O792" s="41"/>
    </row>
    <row r="793" ht="15.75" customHeight="1">
      <c r="O793" s="41"/>
    </row>
    <row r="794" ht="15.75" customHeight="1">
      <c r="O794" s="41"/>
    </row>
    <row r="795" ht="15.75" customHeight="1">
      <c r="O795" s="41"/>
    </row>
    <row r="796" ht="15.75" customHeight="1">
      <c r="O796" s="41"/>
    </row>
    <row r="797" ht="15.75" customHeight="1">
      <c r="O797" s="41"/>
    </row>
    <row r="798" ht="15.75" customHeight="1">
      <c r="O798" s="41"/>
    </row>
    <row r="799" ht="15.75" customHeight="1">
      <c r="O799" s="41"/>
    </row>
    <row r="800" ht="15.75" customHeight="1">
      <c r="O800" s="41"/>
    </row>
    <row r="801" ht="15.75" customHeight="1">
      <c r="O801" s="41"/>
    </row>
    <row r="802" ht="15.75" customHeight="1">
      <c r="O802" s="41"/>
    </row>
    <row r="803" ht="15.75" customHeight="1">
      <c r="O803" s="41"/>
    </row>
    <row r="804" ht="15.75" customHeight="1">
      <c r="O804" s="41"/>
    </row>
    <row r="805" ht="15.75" customHeight="1">
      <c r="O805" s="41"/>
    </row>
    <row r="806" ht="15.75" customHeight="1">
      <c r="O806" s="41"/>
    </row>
    <row r="807" ht="15.75" customHeight="1">
      <c r="O807" s="41"/>
    </row>
    <row r="808" ht="15.75" customHeight="1">
      <c r="O808" s="41"/>
    </row>
    <row r="809" ht="15.75" customHeight="1">
      <c r="O809" s="41"/>
    </row>
    <row r="810" ht="15.75" customHeight="1">
      <c r="O810" s="41"/>
    </row>
    <row r="811" ht="15.75" customHeight="1">
      <c r="O811" s="41"/>
    </row>
    <row r="812" ht="15.75" customHeight="1">
      <c r="O812" s="41"/>
    </row>
    <row r="813" ht="15.75" customHeight="1">
      <c r="O813" s="41"/>
    </row>
    <row r="814" ht="15.75" customHeight="1">
      <c r="O814" s="41"/>
    </row>
    <row r="815" ht="15.75" customHeight="1">
      <c r="O815" s="41"/>
    </row>
    <row r="816" ht="15.75" customHeight="1">
      <c r="O816" s="41"/>
    </row>
    <row r="817" ht="15.75" customHeight="1">
      <c r="O817" s="41"/>
    </row>
    <row r="818" ht="15.75" customHeight="1">
      <c r="O818" s="41"/>
    </row>
    <row r="819" ht="15.75" customHeight="1">
      <c r="O819" s="41"/>
    </row>
    <row r="820" ht="15.75" customHeight="1">
      <c r="O820" s="41"/>
    </row>
    <row r="821" ht="15.75" customHeight="1">
      <c r="O821" s="41"/>
    </row>
    <row r="822" ht="15.75" customHeight="1">
      <c r="O822" s="41"/>
    </row>
    <row r="823" ht="15.75" customHeight="1">
      <c r="O823" s="41"/>
    </row>
    <row r="824" ht="15.75" customHeight="1">
      <c r="O824" s="41"/>
    </row>
    <row r="825" ht="15.75" customHeight="1">
      <c r="O825" s="41"/>
    </row>
    <row r="826" ht="15.75" customHeight="1">
      <c r="O826" s="41"/>
    </row>
    <row r="827" ht="15.75" customHeight="1">
      <c r="O827" s="41"/>
    </row>
    <row r="828" ht="15.75" customHeight="1">
      <c r="O828" s="41"/>
    </row>
    <row r="829" ht="15.75" customHeight="1">
      <c r="O829" s="41"/>
    </row>
    <row r="830" ht="15.75" customHeight="1">
      <c r="O830" s="41"/>
    </row>
    <row r="831" ht="15.75" customHeight="1">
      <c r="O831" s="41"/>
    </row>
    <row r="832" ht="15.75" customHeight="1">
      <c r="O832" s="41"/>
    </row>
    <row r="833" ht="15.75" customHeight="1">
      <c r="O833" s="41"/>
    </row>
    <row r="834" ht="15.75" customHeight="1">
      <c r="O834" s="41"/>
    </row>
    <row r="835" ht="15.75" customHeight="1">
      <c r="O835" s="41"/>
    </row>
    <row r="836" ht="15.75" customHeight="1">
      <c r="O836" s="41"/>
    </row>
    <row r="837" ht="15.75" customHeight="1">
      <c r="O837" s="41"/>
    </row>
    <row r="838" ht="15.75" customHeight="1">
      <c r="O838" s="41"/>
    </row>
    <row r="839" ht="15.75" customHeight="1">
      <c r="O839" s="41"/>
    </row>
    <row r="840" ht="15.75" customHeight="1">
      <c r="O840" s="41"/>
    </row>
    <row r="841" ht="15.75" customHeight="1">
      <c r="O841" s="41"/>
    </row>
    <row r="842" ht="15.75" customHeight="1">
      <c r="O842" s="41"/>
    </row>
    <row r="843" ht="15.75" customHeight="1">
      <c r="O843" s="41"/>
    </row>
    <row r="844" ht="15.75" customHeight="1">
      <c r="O844" s="41"/>
    </row>
    <row r="845" ht="15.75" customHeight="1">
      <c r="O845" s="41"/>
    </row>
    <row r="846" ht="15.75" customHeight="1">
      <c r="O846" s="41"/>
    </row>
    <row r="847" ht="15.75" customHeight="1">
      <c r="O847" s="41"/>
    </row>
    <row r="848" ht="15.75" customHeight="1">
      <c r="O848" s="41"/>
    </row>
    <row r="849" ht="15.75" customHeight="1">
      <c r="O849" s="41"/>
    </row>
    <row r="850" ht="15.75" customHeight="1">
      <c r="O850" s="41"/>
    </row>
    <row r="851" ht="15.75" customHeight="1">
      <c r="O851" s="41"/>
    </row>
    <row r="852" ht="15.75" customHeight="1">
      <c r="O852" s="41"/>
    </row>
    <row r="853" ht="15.75" customHeight="1">
      <c r="O853" s="41"/>
    </row>
    <row r="854" ht="15.75" customHeight="1">
      <c r="O854" s="41"/>
    </row>
    <row r="855" ht="15.75" customHeight="1">
      <c r="O855" s="41"/>
    </row>
    <row r="856" ht="15.75" customHeight="1">
      <c r="O856" s="41"/>
    </row>
    <row r="857" ht="15.75" customHeight="1">
      <c r="O857" s="41"/>
    </row>
    <row r="858" ht="15.75" customHeight="1">
      <c r="O858" s="41"/>
    </row>
    <row r="859" ht="15.75" customHeight="1">
      <c r="O859" s="41"/>
    </row>
    <row r="860" ht="15.75" customHeight="1">
      <c r="O860" s="41"/>
    </row>
    <row r="861" ht="15.75" customHeight="1">
      <c r="O861" s="41"/>
    </row>
    <row r="862" ht="15.75" customHeight="1">
      <c r="O862" s="41"/>
    </row>
    <row r="863" ht="15.75" customHeight="1">
      <c r="O863" s="41"/>
    </row>
    <row r="864" ht="15.75" customHeight="1">
      <c r="O864" s="41"/>
    </row>
    <row r="865" ht="15.75" customHeight="1">
      <c r="O865" s="41"/>
    </row>
    <row r="866" ht="15.75" customHeight="1">
      <c r="O866" s="41"/>
    </row>
    <row r="867" ht="15.75" customHeight="1">
      <c r="O867" s="41"/>
    </row>
    <row r="868" ht="15.75" customHeight="1">
      <c r="O868" s="41"/>
    </row>
    <row r="869" ht="15.75" customHeight="1">
      <c r="O869" s="41"/>
    </row>
    <row r="870" ht="15.75" customHeight="1">
      <c r="O870" s="41"/>
    </row>
    <row r="871" ht="15.75" customHeight="1">
      <c r="O871" s="41"/>
    </row>
    <row r="872" ht="15.75" customHeight="1">
      <c r="O872" s="41"/>
    </row>
    <row r="873" ht="15.75" customHeight="1">
      <c r="O873" s="41"/>
    </row>
    <row r="874" ht="15.75" customHeight="1">
      <c r="O874" s="41"/>
    </row>
    <row r="875" ht="15.75" customHeight="1">
      <c r="O875" s="41"/>
    </row>
    <row r="876" ht="15.75" customHeight="1">
      <c r="O876" s="41"/>
    </row>
    <row r="877" ht="15.75" customHeight="1">
      <c r="O877" s="41"/>
    </row>
    <row r="878" ht="15.75" customHeight="1">
      <c r="O878" s="41"/>
    </row>
    <row r="879" ht="15.75" customHeight="1">
      <c r="O879" s="41"/>
    </row>
    <row r="880" ht="15.75" customHeight="1">
      <c r="O880" s="41"/>
    </row>
    <row r="881" ht="15.75" customHeight="1">
      <c r="O881" s="41"/>
    </row>
    <row r="882" ht="15.75" customHeight="1">
      <c r="O882" s="41"/>
    </row>
    <row r="883" ht="15.75" customHeight="1">
      <c r="O883" s="41"/>
    </row>
    <row r="884" ht="15.75" customHeight="1">
      <c r="O884" s="41"/>
    </row>
    <row r="885" ht="15.75" customHeight="1">
      <c r="O885" s="41"/>
    </row>
    <row r="886" ht="15.75" customHeight="1">
      <c r="O886" s="41"/>
    </row>
    <row r="887" ht="15.75" customHeight="1">
      <c r="O887" s="41"/>
    </row>
    <row r="888" ht="15.75" customHeight="1">
      <c r="O888" s="41"/>
    </row>
    <row r="889" ht="15.75" customHeight="1">
      <c r="O889" s="41"/>
    </row>
    <row r="890" ht="15.75" customHeight="1">
      <c r="O890" s="41"/>
    </row>
    <row r="891" ht="15.75" customHeight="1">
      <c r="O891" s="41"/>
    </row>
    <row r="892" ht="15.75" customHeight="1">
      <c r="O892" s="41"/>
    </row>
    <row r="893" ht="15.75" customHeight="1">
      <c r="O893" s="41"/>
    </row>
    <row r="894" ht="15.75" customHeight="1">
      <c r="O894" s="41"/>
    </row>
    <row r="895" ht="15.75" customHeight="1">
      <c r="O895" s="41"/>
    </row>
    <row r="896" ht="15.75" customHeight="1">
      <c r="O896" s="41"/>
    </row>
    <row r="897" ht="15.75" customHeight="1">
      <c r="O897" s="41"/>
    </row>
    <row r="898" ht="15.75" customHeight="1">
      <c r="O898" s="41"/>
    </row>
    <row r="899" ht="15.75" customHeight="1">
      <c r="O899" s="41"/>
    </row>
    <row r="900" ht="15.75" customHeight="1">
      <c r="O900" s="41"/>
    </row>
    <row r="901" ht="15.75" customHeight="1">
      <c r="O901" s="41"/>
    </row>
    <row r="902" ht="15.75" customHeight="1">
      <c r="O902" s="41"/>
    </row>
    <row r="903" ht="15.75" customHeight="1">
      <c r="O903" s="41"/>
    </row>
    <row r="904" ht="15.75" customHeight="1">
      <c r="O904" s="41"/>
    </row>
    <row r="905" ht="15.75" customHeight="1">
      <c r="O905" s="41"/>
    </row>
    <row r="906" ht="15.75" customHeight="1">
      <c r="O906" s="41"/>
    </row>
    <row r="907" ht="15.75" customHeight="1">
      <c r="O907" s="41"/>
    </row>
    <row r="908" ht="15.75" customHeight="1">
      <c r="O908" s="41"/>
    </row>
    <row r="909" ht="15.75" customHeight="1">
      <c r="O909" s="41"/>
    </row>
    <row r="910" ht="15.75" customHeight="1">
      <c r="O910" s="41"/>
    </row>
    <row r="911" ht="15.75" customHeight="1">
      <c r="O911" s="41"/>
    </row>
    <row r="912" ht="15.75" customHeight="1">
      <c r="O912" s="41"/>
    </row>
    <row r="913" ht="15.75" customHeight="1">
      <c r="O913" s="41"/>
    </row>
    <row r="914" ht="15.75" customHeight="1">
      <c r="O914" s="41"/>
    </row>
    <row r="915" ht="15.75" customHeight="1">
      <c r="O915" s="41"/>
    </row>
    <row r="916" ht="15.75" customHeight="1">
      <c r="O916" s="41"/>
    </row>
    <row r="917" ht="15.75" customHeight="1">
      <c r="O917" s="41"/>
    </row>
    <row r="918" ht="15.75" customHeight="1">
      <c r="O918" s="41"/>
    </row>
    <row r="919" ht="15.75" customHeight="1">
      <c r="O919" s="41"/>
    </row>
    <row r="920" ht="15.75" customHeight="1">
      <c r="O920" s="41"/>
    </row>
    <row r="921" ht="15.75" customHeight="1">
      <c r="O921" s="41"/>
    </row>
    <row r="922" ht="15.75" customHeight="1">
      <c r="O922" s="41"/>
    </row>
    <row r="923" ht="15.75" customHeight="1">
      <c r="O923" s="41"/>
    </row>
    <row r="924" ht="15.75" customHeight="1">
      <c r="O924" s="41"/>
    </row>
    <row r="925" ht="15.75" customHeight="1">
      <c r="O925" s="41"/>
    </row>
    <row r="926" ht="15.75" customHeight="1">
      <c r="O926" s="41"/>
    </row>
    <row r="927" ht="15.75" customHeight="1">
      <c r="O927" s="41"/>
    </row>
    <row r="928" ht="15.75" customHeight="1">
      <c r="O928" s="41"/>
    </row>
    <row r="929" ht="15.75" customHeight="1">
      <c r="O929" s="41"/>
    </row>
    <row r="930" ht="15.75" customHeight="1">
      <c r="O930" s="41"/>
    </row>
    <row r="931" ht="15.75" customHeight="1">
      <c r="O931" s="41"/>
    </row>
    <row r="932" ht="15.75" customHeight="1">
      <c r="O932" s="41"/>
    </row>
    <row r="933" ht="15.75" customHeight="1">
      <c r="O933" s="41"/>
    </row>
    <row r="934" ht="15.75" customHeight="1">
      <c r="O934" s="41"/>
    </row>
    <row r="935" ht="15.75" customHeight="1">
      <c r="O935" s="41"/>
    </row>
    <row r="936" ht="15.75" customHeight="1">
      <c r="O936" s="41"/>
    </row>
    <row r="937" ht="15.75" customHeight="1">
      <c r="O937" s="41"/>
    </row>
    <row r="938" ht="15.75" customHeight="1">
      <c r="O938" s="41"/>
    </row>
    <row r="939" ht="15.75" customHeight="1">
      <c r="O939" s="41"/>
    </row>
    <row r="940" ht="15.75" customHeight="1">
      <c r="O940" s="41"/>
    </row>
    <row r="941" ht="15.75" customHeight="1">
      <c r="O941" s="41"/>
    </row>
    <row r="942" ht="15.75" customHeight="1">
      <c r="O942" s="41"/>
    </row>
    <row r="943" ht="15.75" customHeight="1">
      <c r="O943" s="41"/>
    </row>
    <row r="944" ht="15.75" customHeight="1">
      <c r="O944" s="41"/>
    </row>
    <row r="945" ht="15.75" customHeight="1">
      <c r="O945" s="41"/>
    </row>
    <row r="946" ht="15.75" customHeight="1">
      <c r="O946" s="41"/>
    </row>
    <row r="947" ht="15.75" customHeight="1">
      <c r="O947" s="41"/>
    </row>
    <row r="948" ht="15.75" customHeight="1">
      <c r="O948" s="41"/>
    </row>
    <row r="949" ht="15.75" customHeight="1">
      <c r="O949" s="41"/>
    </row>
    <row r="950" ht="15.75" customHeight="1">
      <c r="O950" s="41"/>
    </row>
    <row r="951" ht="15.75" customHeight="1">
      <c r="O951" s="41"/>
    </row>
    <row r="952" ht="15.75" customHeight="1">
      <c r="O952" s="41"/>
    </row>
    <row r="953" ht="15.75" customHeight="1">
      <c r="O953" s="41"/>
    </row>
    <row r="954" ht="15.75" customHeight="1">
      <c r="O954" s="41"/>
    </row>
    <row r="955" ht="15.75" customHeight="1">
      <c r="O955" s="41"/>
    </row>
    <row r="956" ht="15.75" customHeight="1">
      <c r="O956" s="41"/>
    </row>
    <row r="957" ht="15.75" customHeight="1">
      <c r="O957" s="41"/>
    </row>
    <row r="958" ht="15.75" customHeight="1">
      <c r="O958" s="41"/>
    </row>
    <row r="959" ht="15.75" customHeight="1">
      <c r="O959" s="41"/>
    </row>
    <row r="960" ht="15.75" customHeight="1">
      <c r="O960" s="41"/>
    </row>
    <row r="961" ht="15.75" customHeight="1">
      <c r="O961" s="41"/>
    </row>
    <row r="962" ht="15.75" customHeight="1">
      <c r="O962" s="41"/>
    </row>
    <row r="963" ht="15.75" customHeight="1">
      <c r="O963" s="41"/>
    </row>
    <row r="964" ht="15.75" customHeight="1">
      <c r="O964" s="41"/>
    </row>
    <row r="965" ht="15.75" customHeight="1">
      <c r="O965" s="41"/>
    </row>
    <row r="966" ht="15.75" customHeight="1">
      <c r="O966" s="41"/>
    </row>
    <row r="967" ht="15.75" customHeight="1">
      <c r="O967" s="41"/>
    </row>
    <row r="968" ht="15.75" customHeight="1">
      <c r="O968" s="41"/>
    </row>
    <row r="969" ht="15.75" customHeight="1">
      <c r="O969" s="41"/>
    </row>
    <row r="970" ht="15.75" customHeight="1">
      <c r="O970" s="41"/>
    </row>
    <row r="971" ht="15.75" customHeight="1">
      <c r="O971" s="41"/>
    </row>
    <row r="972" ht="15.75" customHeight="1">
      <c r="O972" s="41"/>
    </row>
    <row r="973" ht="15.75" customHeight="1">
      <c r="O973" s="41"/>
    </row>
    <row r="974" ht="15.75" customHeight="1">
      <c r="O974" s="41"/>
    </row>
    <row r="975" ht="15.75" customHeight="1">
      <c r="O975" s="41"/>
    </row>
    <row r="976" ht="15.75" customHeight="1">
      <c r="O976" s="41"/>
    </row>
    <row r="977" ht="15.75" customHeight="1">
      <c r="O977" s="41"/>
    </row>
    <row r="978" ht="15.75" customHeight="1">
      <c r="O978" s="41"/>
    </row>
    <row r="979" ht="15.75" customHeight="1">
      <c r="O979" s="41"/>
    </row>
    <row r="980" ht="15.75" customHeight="1">
      <c r="O980" s="41"/>
    </row>
    <row r="981" ht="15.75" customHeight="1">
      <c r="O981" s="41"/>
    </row>
    <row r="982" ht="15.75" customHeight="1">
      <c r="O982" s="41"/>
    </row>
    <row r="983" ht="15.75" customHeight="1">
      <c r="O983" s="41"/>
    </row>
    <row r="984" ht="15.75" customHeight="1">
      <c r="O984" s="41"/>
    </row>
    <row r="985" ht="15.75" customHeight="1">
      <c r="O985" s="41"/>
    </row>
    <row r="986" ht="15.75" customHeight="1">
      <c r="O986" s="41"/>
    </row>
    <row r="987" ht="15.75" customHeight="1">
      <c r="O987" s="41"/>
    </row>
    <row r="988" ht="15.75" customHeight="1">
      <c r="O988" s="41"/>
    </row>
    <row r="989" ht="15.75" customHeight="1">
      <c r="O989" s="41"/>
    </row>
    <row r="990" ht="15.75" customHeight="1">
      <c r="O990" s="41"/>
    </row>
    <row r="991" ht="15.75" customHeight="1">
      <c r="O991" s="41"/>
    </row>
    <row r="992" ht="15.75" customHeight="1">
      <c r="O992" s="41"/>
    </row>
    <row r="993" ht="15.75" customHeight="1">
      <c r="O993" s="41"/>
    </row>
    <row r="994" ht="15.75" customHeight="1">
      <c r="O994" s="41"/>
    </row>
    <row r="995" ht="15.75" customHeight="1">
      <c r="O995" s="41"/>
    </row>
    <row r="996" ht="15.75" customHeight="1">
      <c r="O996" s="41"/>
    </row>
    <row r="997" ht="15.75" customHeight="1">
      <c r="O997" s="41"/>
    </row>
    <row r="998" ht="15.75" customHeight="1">
      <c r="O998" s="41"/>
    </row>
    <row r="999" ht="15.75" customHeight="1">
      <c r="O999" s="41"/>
    </row>
    <row r="1000" ht="15.75" customHeight="1">
      <c r="O1000" s="41"/>
    </row>
  </sheetData>
  <dataValidations>
    <dataValidation type="list" allowBlank="1" sqref="O2:O1000">
      <formula1>"Pendiente,Validado,Rechazado"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64.0"/>
    <col customWidth="1" min="3" max="3" width="9.0"/>
    <col customWidth="1" min="4" max="4" width="26.0"/>
    <col customWidth="1" min="5" max="5" width="13.0"/>
    <col customWidth="1" min="6" max="6" width="16.0"/>
  </cols>
  <sheetData>
    <row r="1" ht="25.5" customHeight="1">
      <c r="A1" s="36" t="s">
        <v>2091</v>
      </c>
      <c r="B1" s="36" t="s">
        <v>2092</v>
      </c>
      <c r="C1" s="36" t="s">
        <v>2093</v>
      </c>
      <c r="D1" s="36" t="s">
        <v>64</v>
      </c>
      <c r="E1" s="36" t="s">
        <v>2094</v>
      </c>
      <c r="F1" s="36" t="s">
        <v>2095</v>
      </c>
    </row>
    <row r="2">
      <c r="A2" s="42">
        <v>1.0</v>
      </c>
      <c r="B2" s="42" t="s">
        <v>2096</v>
      </c>
      <c r="C2" s="57" t="s">
        <v>2097</v>
      </c>
      <c r="D2" s="57" t="s">
        <v>2098</v>
      </c>
      <c r="E2" s="42" t="s">
        <v>2099</v>
      </c>
      <c r="F2" s="42" t="s">
        <v>2100</v>
      </c>
    </row>
    <row r="3">
      <c r="A3" s="42">
        <v>2.0</v>
      </c>
      <c r="B3" s="42" t="s">
        <v>2101</v>
      </c>
      <c r="C3" s="57" t="s">
        <v>2097</v>
      </c>
      <c r="D3" s="57" t="s">
        <v>2098</v>
      </c>
      <c r="E3" s="42" t="s">
        <v>2102</v>
      </c>
      <c r="F3" s="42" t="s">
        <v>2103</v>
      </c>
    </row>
    <row r="4">
      <c r="A4" s="42">
        <v>3.0</v>
      </c>
      <c r="B4" s="42" t="s">
        <v>2104</v>
      </c>
      <c r="C4" s="57" t="s">
        <v>2097</v>
      </c>
      <c r="D4" s="57" t="s">
        <v>2098</v>
      </c>
      <c r="E4" s="42" t="s">
        <v>2105</v>
      </c>
      <c r="F4" s="42" t="s">
        <v>2106</v>
      </c>
    </row>
    <row r="5">
      <c r="A5" s="42">
        <v>4.0</v>
      </c>
      <c r="B5" s="42" t="s">
        <v>2107</v>
      </c>
      <c r="C5" s="57" t="s">
        <v>2097</v>
      </c>
      <c r="D5" s="57" t="s">
        <v>2098</v>
      </c>
      <c r="E5" s="42" t="s">
        <v>2108</v>
      </c>
      <c r="F5" s="42" t="s">
        <v>2108</v>
      </c>
    </row>
    <row r="6">
      <c r="A6" s="42">
        <v>5.0</v>
      </c>
      <c r="B6" s="42" t="s">
        <v>2109</v>
      </c>
      <c r="C6" s="57" t="s">
        <v>2097</v>
      </c>
      <c r="D6" s="57" t="s">
        <v>2098</v>
      </c>
      <c r="E6" s="42" t="s">
        <v>2103</v>
      </c>
      <c r="F6" s="42" t="s">
        <v>2103</v>
      </c>
    </row>
    <row r="7">
      <c r="A7" s="42">
        <v>6.0</v>
      </c>
      <c r="B7" s="42" t="s">
        <v>2110</v>
      </c>
      <c r="C7" s="57" t="s">
        <v>2097</v>
      </c>
      <c r="D7" s="57" t="s">
        <v>2098</v>
      </c>
      <c r="E7" s="42" t="s">
        <v>2111</v>
      </c>
      <c r="F7" s="42" t="s">
        <v>2112</v>
      </c>
    </row>
    <row r="8">
      <c r="A8" s="42">
        <v>7.0</v>
      </c>
      <c r="B8" s="42" t="s">
        <v>2113</v>
      </c>
      <c r="C8" s="57" t="s">
        <v>2097</v>
      </c>
      <c r="D8" s="57" t="s">
        <v>2098</v>
      </c>
      <c r="E8" s="42" t="s">
        <v>2114</v>
      </c>
      <c r="F8" s="42" t="s">
        <v>2114</v>
      </c>
    </row>
    <row r="9">
      <c r="A9" s="42">
        <v>8.0</v>
      </c>
      <c r="B9" s="42" t="s">
        <v>2115</v>
      </c>
      <c r="C9" s="57" t="s">
        <v>2097</v>
      </c>
      <c r="D9" s="57" t="s">
        <v>2098</v>
      </c>
      <c r="E9" s="42" t="s">
        <v>2116</v>
      </c>
      <c r="F9" s="42" t="s">
        <v>2116</v>
      </c>
    </row>
    <row r="10">
      <c r="A10" s="42">
        <v>9.0</v>
      </c>
      <c r="B10" s="42" t="s">
        <v>2117</v>
      </c>
      <c r="C10" s="57" t="s">
        <v>2097</v>
      </c>
      <c r="D10" s="57" t="s">
        <v>2098</v>
      </c>
      <c r="E10" s="42" t="s">
        <v>2116</v>
      </c>
      <c r="F10" s="42" t="s">
        <v>2116</v>
      </c>
    </row>
    <row r="11">
      <c r="A11" s="42">
        <v>10.0</v>
      </c>
      <c r="B11" s="42" t="s">
        <v>2118</v>
      </c>
      <c r="C11" s="57" t="s">
        <v>2097</v>
      </c>
      <c r="D11" s="57" t="s">
        <v>2098</v>
      </c>
      <c r="E11" s="42" t="s">
        <v>2116</v>
      </c>
      <c r="F11" s="42" t="s">
        <v>2119</v>
      </c>
    </row>
    <row r="12">
      <c r="A12" s="42">
        <v>11.0</v>
      </c>
      <c r="B12" s="42" t="s">
        <v>2120</v>
      </c>
      <c r="C12" s="57" t="s">
        <v>2097</v>
      </c>
      <c r="D12" s="57" t="s">
        <v>2098</v>
      </c>
      <c r="E12" s="42" t="s">
        <v>2121</v>
      </c>
      <c r="F12" s="42" t="s">
        <v>2121</v>
      </c>
    </row>
    <row r="13">
      <c r="A13" s="42">
        <v>12.0</v>
      </c>
      <c r="B13" s="42" t="s">
        <v>2122</v>
      </c>
      <c r="C13" s="57" t="s">
        <v>2097</v>
      </c>
      <c r="D13" s="57" t="s">
        <v>2098</v>
      </c>
      <c r="E13" s="42" t="s">
        <v>2123</v>
      </c>
      <c r="F13" s="42" t="s">
        <v>2124</v>
      </c>
    </row>
    <row r="14">
      <c r="A14" s="42">
        <v>13.0</v>
      </c>
      <c r="B14" s="42" t="s">
        <v>2125</v>
      </c>
      <c r="C14" s="57" t="s">
        <v>2097</v>
      </c>
      <c r="D14" s="57" t="s">
        <v>2098</v>
      </c>
      <c r="E14" s="42" t="s">
        <v>2126</v>
      </c>
      <c r="F14" s="42" t="s">
        <v>2127</v>
      </c>
    </row>
    <row r="15">
      <c r="A15" s="42">
        <v>14.0</v>
      </c>
      <c r="B15" s="42" t="s">
        <v>2128</v>
      </c>
      <c r="C15" s="57" t="s">
        <v>2097</v>
      </c>
      <c r="D15" s="57" t="s">
        <v>2098</v>
      </c>
      <c r="E15" s="42" t="s">
        <v>2129</v>
      </c>
      <c r="F15" s="42" t="s">
        <v>2106</v>
      </c>
    </row>
    <row r="16">
      <c r="A16" s="42">
        <v>15.0</v>
      </c>
      <c r="B16" s="42" t="s">
        <v>2130</v>
      </c>
      <c r="C16" s="57" t="s">
        <v>2097</v>
      </c>
      <c r="D16" s="57" t="s">
        <v>2098</v>
      </c>
      <c r="E16" s="42" t="s">
        <v>2131</v>
      </c>
      <c r="F16" s="42" t="s">
        <v>2132</v>
      </c>
    </row>
    <row r="17">
      <c r="A17" s="42">
        <v>16.0</v>
      </c>
      <c r="B17" s="42" t="s">
        <v>2133</v>
      </c>
      <c r="C17" s="57" t="s">
        <v>2097</v>
      </c>
      <c r="D17" s="57" t="s">
        <v>2098</v>
      </c>
      <c r="E17" s="42" t="s">
        <v>2131</v>
      </c>
      <c r="F17" s="42" t="s">
        <v>2131</v>
      </c>
    </row>
    <row r="18">
      <c r="A18" s="42">
        <v>17.0</v>
      </c>
      <c r="B18" s="42" t="s">
        <v>2134</v>
      </c>
      <c r="C18" s="57" t="s">
        <v>2097</v>
      </c>
      <c r="D18" s="57" t="s">
        <v>2098</v>
      </c>
      <c r="E18" s="42" t="s">
        <v>2131</v>
      </c>
      <c r="F18" s="42" t="s">
        <v>2135</v>
      </c>
    </row>
    <row r="19">
      <c r="A19" s="42">
        <v>18.0</v>
      </c>
      <c r="B19" s="42" t="s">
        <v>2136</v>
      </c>
      <c r="C19" s="57" t="s">
        <v>2097</v>
      </c>
      <c r="D19" s="57" t="s">
        <v>2098</v>
      </c>
      <c r="E19" s="42" t="s">
        <v>2137</v>
      </c>
      <c r="F19" s="42" t="s">
        <v>2132</v>
      </c>
    </row>
    <row r="20">
      <c r="A20" s="42">
        <v>19.0</v>
      </c>
      <c r="B20" s="42" t="s">
        <v>2138</v>
      </c>
      <c r="C20" s="57" t="s">
        <v>2097</v>
      </c>
      <c r="D20" s="57" t="s">
        <v>2098</v>
      </c>
      <c r="E20" s="42" t="s">
        <v>2137</v>
      </c>
      <c r="F20" s="42" t="s">
        <v>2137</v>
      </c>
    </row>
    <row r="21" ht="15.75" customHeight="1">
      <c r="A21" s="42">
        <v>20.0</v>
      </c>
      <c r="B21" s="42" t="s">
        <v>2139</v>
      </c>
      <c r="C21" s="57" t="s">
        <v>2097</v>
      </c>
      <c r="D21" s="57" t="s">
        <v>2098</v>
      </c>
      <c r="E21" s="42" t="s">
        <v>2137</v>
      </c>
      <c r="F21" s="42" t="s">
        <v>2137</v>
      </c>
    </row>
    <row r="22" ht="15.75" customHeight="1">
      <c r="A22" s="42">
        <v>21.0</v>
      </c>
      <c r="B22" s="42" t="s">
        <v>2140</v>
      </c>
      <c r="C22" s="57" t="s">
        <v>2097</v>
      </c>
      <c r="D22" s="57" t="s">
        <v>2098</v>
      </c>
      <c r="E22" s="42" t="s">
        <v>2137</v>
      </c>
      <c r="F22" s="42" t="s">
        <v>2137</v>
      </c>
    </row>
    <row r="23" ht="15.75" customHeight="1">
      <c r="A23" s="42">
        <v>22.0</v>
      </c>
      <c r="B23" s="42" t="s">
        <v>2141</v>
      </c>
      <c r="C23" s="57" t="s">
        <v>2097</v>
      </c>
      <c r="D23" s="57" t="s">
        <v>2098</v>
      </c>
      <c r="E23" s="42" t="s">
        <v>2137</v>
      </c>
      <c r="F23" s="42" t="s">
        <v>2132</v>
      </c>
    </row>
    <row r="24" ht="15.75" customHeight="1">
      <c r="A24" s="42">
        <v>23.0</v>
      </c>
      <c r="B24" s="42" t="s">
        <v>2142</v>
      </c>
      <c r="C24" s="57" t="s">
        <v>2097</v>
      </c>
      <c r="D24" s="57" t="s">
        <v>2098</v>
      </c>
      <c r="E24" s="42" t="s">
        <v>2137</v>
      </c>
      <c r="F24" s="42" t="s">
        <v>2137</v>
      </c>
    </row>
    <row r="25" ht="15.75" customHeight="1">
      <c r="A25" s="42">
        <v>24.0</v>
      </c>
      <c r="B25" s="42" t="s">
        <v>2143</v>
      </c>
      <c r="C25" s="57" t="s">
        <v>2097</v>
      </c>
      <c r="D25" s="57" t="s">
        <v>2098</v>
      </c>
      <c r="E25" s="42" t="s">
        <v>2137</v>
      </c>
      <c r="F25" s="42" t="s">
        <v>2137</v>
      </c>
    </row>
    <row r="26" ht="15.75" customHeight="1">
      <c r="A26" s="42">
        <v>25.0</v>
      </c>
      <c r="B26" s="42" t="s">
        <v>2144</v>
      </c>
      <c r="C26" s="57" t="s">
        <v>2097</v>
      </c>
      <c r="D26" s="57" t="s">
        <v>2098</v>
      </c>
      <c r="E26" s="42" t="s">
        <v>2137</v>
      </c>
      <c r="F26" s="42" t="s">
        <v>2137</v>
      </c>
    </row>
    <row r="27" ht="15.75" customHeight="1">
      <c r="A27" s="42">
        <v>26.0</v>
      </c>
      <c r="B27" s="42" t="s">
        <v>2145</v>
      </c>
      <c r="C27" s="57" t="s">
        <v>2097</v>
      </c>
      <c r="D27" s="57" t="s">
        <v>2098</v>
      </c>
      <c r="E27" s="42" t="s">
        <v>2137</v>
      </c>
      <c r="F27" s="42" t="s">
        <v>2137</v>
      </c>
    </row>
    <row r="28" ht="15.75" customHeight="1">
      <c r="A28" s="42">
        <v>27.0</v>
      </c>
      <c r="B28" s="42" t="s">
        <v>2146</v>
      </c>
      <c r="C28" s="57" t="s">
        <v>2097</v>
      </c>
      <c r="D28" s="57" t="s">
        <v>2098</v>
      </c>
      <c r="E28" s="42" t="s">
        <v>2137</v>
      </c>
      <c r="F28" s="42" t="s">
        <v>2137</v>
      </c>
    </row>
    <row r="29" ht="15.75" customHeight="1">
      <c r="A29" s="42">
        <v>28.0</v>
      </c>
      <c r="B29" s="42" t="s">
        <v>2147</v>
      </c>
      <c r="C29" s="57" t="s">
        <v>2097</v>
      </c>
      <c r="D29" s="57" t="s">
        <v>2098</v>
      </c>
      <c r="E29" s="42" t="s">
        <v>2137</v>
      </c>
      <c r="F29" s="42" t="s">
        <v>2132</v>
      </c>
    </row>
    <row r="30" ht="15.75" customHeight="1">
      <c r="A30" s="42">
        <v>29.0</v>
      </c>
      <c r="B30" s="42" t="s">
        <v>2148</v>
      </c>
      <c r="C30" s="57" t="s">
        <v>2097</v>
      </c>
      <c r="D30" s="57" t="s">
        <v>2098</v>
      </c>
      <c r="E30" s="42" t="s">
        <v>2137</v>
      </c>
      <c r="F30" s="42" t="s">
        <v>2137</v>
      </c>
    </row>
    <row r="31" ht="15.75" customHeight="1">
      <c r="A31" s="42">
        <v>30.0</v>
      </c>
      <c r="B31" s="42" t="s">
        <v>2149</v>
      </c>
      <c r="C31" s="57" t="s">
        <v>2097</v>
      </c>
      <c r="D31" s="57" t="s">
        <v>2098</v>
      </c>
      <c r="E31" s="42" t="s">
        <v>2137</v>
      </c>
      <c r="F31" s="42" t="s">
        <v>2137</v>
      </c>
    </row>
    <row r="32" ht="15.75" customHeight="1">
      <c r="A32" s="42">
        <v>31.0</v>
      </c>
      <c r="B32" s="42" t="s">
        <v>2150</v>
      </c>
      <c r="C32" s="57" t="s">
        <v>2097</v>
      </c>
      <c r="D32" s="57" t="s">
        <v>2098</v>
      </c>
      <c r="E32" s="42" t="s">
        <v>2137</v>
      </c>
      <c r="F32" s="42" t="s">
        <v>2137</v>
      </c>
    </row>
    <row r="33" ht="15.75" customHeight="1">
      <c r="A33" s="42">
        <v>32.0</v>
      </c>
      <c r="B33" s="42" t="s">
        <v>2151</v>
      </c>
      <c r="C33" s="57" t="s">
        <v>2097</v>
      </c>
      <c r="D33" s="57" t="s">
        <v>2098</v>
      </c>
      <c r="E33" s="42" t="s">
        <v>2137</v>
      </c>
      <c r="F33" s="42" t="s">
        <v>2137</v>
      </c>
    </row>
    <row r="34" ht="15.75" customHeight="1">
      <c r="A34" s="42">
        <v>33.0</v>
      </c>
      <c r="B34" s="42" t="s">
        <v>2152</v>
      </c>
      <c r="C34" s="57" t="s">
        <v>2097</v>
      </c>
      <c r="D34" s="57" t="s">
        <v>2098</v>
      </c>
      <c r="E34" s="42" t="s">
        <v>2132</v>
      </c>
      <c r="F34" s="42" t="s">
        <v>2132</v>
      </c>
    </row>
    <row r="35" ht="15.75" customHeight="1">
      <c r="A35" s="42">
        <v>34.0</v>
      </c>
      <c r="B35" s="42" t="s">
        <v>2153</v>
      </c>
      <c r="C35" s="57" t="s">
        <v>2097</v>
      </c>
      <c r="D35" s="57" t="s">
        <v>2098</v>
      </c>
      <c r="E35" s="42" t="s">
        <v>2154</v>
      </c>
      <c r="F35" s="42" t="s">
        <v>2154</v>
      </c>
    </row>
    <row r="36" ht="15.75" customHeight="1">
      <c r="A36" s="42">
        <v>35.0</v>
      </c>
      <c r="B36" s="42" t="s">
        <v>2155</v>
      </c>
      <c r="C36" s="57" t="s">
        <v>2097</v>
      </c>
      <c r="D36" s="57" t="s">
        <v>2098</v>
      </c>
      <c r="E36" s="42" t="s">
        <v>2154</v>
      </c>
      <c r="F36" s="42" t="s">
        <v>2154</v>
      </c>
    </row>
    <row r="37" ht="15.75" customHeight="1">
      <c r="A37" s="42">
        <v>36.0</v>
      </c>
      <c r="B37" s="42" t="s">
        <v>2156</v>
      </c>
      <c r="C37" s="57" t="s">
        <v>2097</v>
      </c>
      <c r="D37" s="57" t="s">
        <v>2098</v>
      </c>
      <c r="E37" s="42" t="s">
        <v>2157</v>
      </c>
      <c r="F37" s="42" t="s">
        <v>2157</v>
      </c>
    </row>
    <row r="38" ht="15.75" customHeight="1">
      <c r="A38" s="42">
        <v>37.0</v>
      </c>
      <c r="B38" s="42" t="s">
        <v>2158</v>
      </c>
      <c r="C38" s="57" t="s">
        <v>2097</v>
      </c>
      <c r="D38" s="57" t="s">
        <v>2098</v>
      </c>
      <c r="E38" s="42" t="s">
        <v>2157</v>
      </c>
      <c r="F38" s="42" t="s">
        <v>2157</v>
      </c>
    </row>
    <row r="39" ht="15.75" customHeight="1">
      <c r="A39" s="42">
        <v>38.0</v>
      </c>
      <c r="B39" s="42" t="s">
        <v>2159</v>
      </c>
      <c r="C39" s="57" t="s">
        <v>2097</v>
      </c>
      <c r="D39" s="57" t="s">
        <v>2098</v>
      </c>
      <c r="E39" s="42" t="s">
        <v>2160</v>
      </c>
      <c r="F39" s="42" t="s">
        <v>2160</v>
      </c>
    </row>
    <row r="40" ht="15.75" customHeight="1">
      <c r="A40" s="42">
        <v>39.0</v>
      </c>
      <c r="B40" s="42" t="s">
        <v>2161</v>
      </c>
      <c r="C40" s="57" t="s">
        <v>2097</v>
      </c>
      <c r="D40" s="57" t="s">
        <v>2098</v>
      </c>
      <c r="E40" s="42" t="s">
        <v>890</v>
      </c>
      <c r="F40" s="42" t="s">
        <v>890</v>
      </c>
    </row>
    <row r="41" ht="15.75" customHeight="1">
      <c r="A41" s="42">
        <v>40.0</v>
      </c>
      <c r="B41" s="42" t="s">
        <v>2162</v>
      </c>
      <c r="C41" s="58" t="s">
        <v>2163</v>
      </c>
      <c r="D41" s="58" t="s">
        <v>2164</v>
      </c>
      <c r="E41" s="42" t="s">
        <v>2102</v>
      </c>
      <c r="F41" s="42" t="s">
        <v>2165</v>
      </c>
    </row>
    <row r="42" ht="15.75" customHeight="1">
      <c r="A42" s="42">
        <v>41.0</v>
      </c>
      <c r="B42" s="42" t="s">
        <v>2166</v>
      </c>
      <c r="C42" s="58" t="s">
        <v>2163</v>
      </c>
      <c r="D42" s="58" t="s">
        <v>2164</v>
      </c>
      <c r="E42" s="42" t="s">
        <v>2105</v>
      </c>
      <c r="F42" s="42" t="s">
        <v>2167</v>
      </c>
    </row>
    <row r="43" ht="15.75" customHeight="1">
      <c r="A43" s="42">
        <v>42.0</v>
      </c>
      <c r="B43" s="42" t="s">
        <v>2168</v>
      </c>
      <c r="C43" s="58" t="s">
        <v>2163</v>
      </c>
      <c r="D43" s="58" t="s">
        <v>2164</v>
      </c>
      <c r="E43" s="42" t="s">
        <v>2108</v>
      </c>
      <c r="F43" s="42" t="s">
        <v>2108</v>
      </c>
    </row>
    <row r="44" ht="15.75" customHeight="1">
      <c r="A44" s="42">
        <v>43.0</v>
      </c>
      <c r="B44" s="42" t="s">
        <v>2169</v>
      </c>
      <c r="C44" s="58" t="s">
        <v>2163</v>
      </c>
      <c r="D44" s="58" t="s">
        <v>2164</v>
      </c>
      <c r="E44" s="42" t="s">
        <v>2108</v>
      </c>
      <c r="F44" s="42" t="s">
        <v>2108</v>
      </c>
    </row>
    <row r="45" ht="15.75" customHeight="1">
      <c r="A45" s="42">
        <v>44.0</v>
      </c>
      <c r="B45" s="42" t="s">
        <v>2170</v>
      </c>
      <c r="C45" s="58" t="s">
        <v>2163</v>
      </c>
      <c r="D45" s="58" t="s">
        <v>2164</v>
      </c>
      <c r="E45" s="42" t="s">
        <v>2165</v>
      </c>
      <c r="F45" s="42" t="s">
        <v>2171</v>
      </c>
    </row>
    <row r="46" ht="15.75" customHeight="1">
      <c r="A46" s="42">
        <v>45.0</v>
      </c>
      <c r="B46" s="42" t="s">
        <v>2172</v>
      </c>
      <c r="C46" s="58" t="s">
        <v>2163</v>
      </c>
      <c r="D46" s="58" t="s">
        <v>2164</v>
      </c>
      <c r="E46" s="42" t="s">
        <v>2173</v>
      </c>
      <c r="F46" s="42" t="s">
        <v>2135</v>
      </c>
    </row>
    <row r="47" ht="15.75" customHeight="1">
      <c r="A47" s="42">
        <v>46.0</v>
      </c>
      <c r="B47" s="42" t="s">
        <v>2174</v>
      </c>
      <c r="C47" s="58" t="s">
        <v>2163</v>
      </c>
      <c r="D47" s="58" t="s">
        <v>2164</v>
      </c>
      <c r="E47" s="42" t="s">
        <v>2175</v>
      </c>
      <c r="F47" s="42" t="s">
        <v>2175</v>
      </c>
    </row>
    <row r="48" ht="15.75" customHeight="1">
      <c r="A48" s="42">
        <v>47.0</v>
      </c>
      <c r="B48" s="42" t="s">
        <v>2176</v>
      </c>
      <c r="C48" s="58" t="s">
        <v>2163</v>
      </c>
      <c r="D48" s="58" t="s">
        <v>2164</v>
      </c>
      <c r="E48" s="42" t="s">
        <v>2177</v>
      </c>
      <c r="F48" s="42" t="s">
        <v>2177</v>
      </c>
    </row>
    <row r="49" ht="15.75" customHeight="1">
      <c r="A49" s="42">
        <v>48.0</v>
      </c>
      <c r="B49" s="42" t="s">
        <v>2178</v>
      </c>
      <c r="C49" s="58" t="s">
        <v>2163</v>
      </c>
      <c r="D49" s="58" t="s">
        <v>2164</v>
      </c>
      <c r="E49" s="42" t="s">
        <v>2179</v>
      </c>
      <c r="F49" s="42" t="s">
        <v>2135</v>
      </c>
    </row>
    <row r="50" ht="15.75" customHeight="1">
      <c r="A50" s="42">
        <v>49.0</v>
      </c>
      <c r="B50" s="42" t="s">
        <v>2180</v>
      </c>
      <c r="C50" s="58" t="s">
        <v>2163</v>
      </c>
      <c r="D50" s="58" t="s">
        <v>2164</v>
      </c>
      <c r="E50" s="42" t="s">
        <v>2131</v>
      </c>
      <c r="F50" s="42" t="s">
        <v>2131</v>
      </c>
    </row>
    <row r="51" ht="15.75" customHeight="1">
      <c r="A51" s="42">
        <v>50.0</v>
      </c>
      <c r="B51" s="42" t="s">
        <v>2181</v>
      </c>
      <c r="C51" s="58" t="s">
        <v>2163</v>
      </c>
      <c r="D51" s="58" t="s">
        <v>2164</v>
      </c>
      <c r="E51" s="42" t="s">
        <v>2131</v>
      </c>
      <c r="F51" s="42" t="s">
        <v>2131</v>
      </c>
    </row>
    <row r="52" ht="15.75" customHeight="1">
      <c r="A52" s="42">
        <v>51.0</v>
      </c>
      <c r="B52" s="42" t="s">
        <v>2182</v>
      </c>
      <c r="C52" s="58" t="s">
        <v>2163</v>
      </c>
      <c r="D52" s="58" t="s">
        <v>2164</v>
      </c>
      <c r="E52" s="42" t="s">
        <v>2131</v>
      </c>
      <c r="F52" s="42" t="s">
        <v>2135</v>
      </c>
    </row>
    <row r="53" ht="15.75" customHeight="1">
      <c r="A53" s="42">
        <v>52.0</v>
      </c>
      <c r="B53" s="42" t="s">
        <v>2183</v>
      </c>
      <c r="C53" s="58" t="s">
        <v>2163</v>
      </c>
      <c r="D53" s="58" t="s">
        <v>2164</v>
      </c>
      <c r="E53" s="42" t="s">
        <v>2131</v>
      </c>
      <c r="F53" s="42" t="s">
        <v>2132</v>
      </c>
    </row>
    <row r="54" ht="15.75" customHeight="1">
      <c r="A54" s="42">
        <v>53.0</v>
      </c>
      <c r="B54" s="42" t="s">
        <v>2184</v>
      </c>
      <c r="C54" s="58" t="s">
        <v>2163</v>
      </c>
      <c r="D54" s="58" t="s">
        <v>2164</v>
      </c>
      <c r="E54" s="42" t="s">
        <v>2131</v>
      </c>
      <c r="F54" s="42" t="s">
        <v>2131</v>
      </c>
    </row>
    <row r="55" ht="15.75" customHeight="1">
      <c r="A55" s="42">
        <v>54.0</v>
      </c>
      <c r="B55" s="42" t="s">
        <v>2185</v>
      </c>
      <c r="C55" s="58" t="s">
        <v>2163</v>
      </c>
      <c r="D55" s="58" t="s">
        <v>2164</v>
      </c>
      <c r="E55" s="42" t="s">
        <v>2131</v>
      </c>
      <c r="F55" s="42" t="s">
        <v>2131</v>
      </c>
    </row>
    <row r="56" ht="15.75" customHeight="1">
      <c r="A56" s="42">
        <v>55.0</v>
      </c>
      <c r="B56" s="42" t="s">
        <v>2186</v>
      </c>
      <c r="C56" s="58" t="s">
        <v>2163</v>
      </c>
      <c r="D56" s="58" t="s">
        <v>2164</v>
      </c>
      <c r="E56" s="42" t="s">
        <v>2131</v>
      </c>
      <c r="F56" s="42" t="s">
        <v>369</v>
      </c>
    </row>
    <row r="57" ht="15.75" customHeight="1">
      <c r="A57" s="42">
        <v>56.0</v>
      </c>
      <c r="B57" s="42" t="s">
        <v>2187</v>
      </c>
      <c r="C57" s="58" t="s">
        <v>2163</v>
      </c>
      <c r="D57" s="58" t="s">
        <v>2164</v>
      </c>
      <c r="E57" s="42" t="s">
        <v>2131</v>
      </c>
      <c r="F57" s="42" t="s">
        <v>2131</v>
      </c>
    </row>
    <row r="58" ht="15.75" customHeight="1">
      <c r="A58" s="42">
        <v>57.0</v>
      </c>
      <c r="B58" s="42" t="s">
        <v>2188</v>
      </c>
      <c r="C58" s="58" t="s">
        <v>2163</v>
      </c>
      <c r="D58" s="58" t="s">
        <v>2164</v>
      </c>
      <c r="E58" s="42" t="s">
        <v>2131</v>
      </c>
      <c r="F58" s="42" t="s">
        <v>2132</v>
      </c>
    </row>
    <row r="59" ht="15.75" customHeight="1">
      <c r="A59" s="42">
        <v>58.0</v>
      </c>
      <c r="B59" s="42" t="s">
        <v>2189</v>
      </c>
      <c r="C59" s="58" t="s">
        <v>2163</v>
      </c>
      <c r="D59" s="58" t="s">
        <v>2164</v>
      </c>
      <c r="E59" s="42" t="s">
        <v>2131</v>
      </c>
      <c r="F59" s="42" t="s">
        <v>2131</v>
      </c>
    </row>
    <row r="60" ht="15.75" customHeight="1">
      <c r="A60" s="42">
        <v>59.0</v>
      </c>
      <c r="B60" s="42" t="s">
        <v>2190</v>
      </c>
      <c r="C60" s="58" t="s">
        <v>2163</v>
      </c>
      <c r="D60" s="58" t="s">
        <v>2164</v>
      </c>
      <c r="E60" s="42" t="s">
        <v>2131</v>
      </c>
      <c r="F60" s="42" t="s">
        <v>2191</v>
      </c>
    </row>
    <row r="61" ht="15.75" customHeight="1">
      <c r="A61" s="42">
        <v>60.0</v>
      </c>
      <c r="B61" s="42" t="s">
        <v>2192</v>
      </c>
      <c r="C61" s="58" t="s">
        <v>2163</v>
      </c>
      <c r="D61" s="58" t="s">
        <v>2164</v>
      </c>
      <c r="E61" s="42" t="s">
        <v>2131</v>
      </c>
      <c r="F61" s="42" t="s">
        <v>2135</v>
      </c>
    </row>
    <row r="62" ht="15.75" customHeight="1">
      <c r="A62" s="42">
        <v>61.0</v>
      </c>
      <c r="B62" s="42" t="s">
        <v>2193</v>
      </c>
      <c r="C62" s="58" t="s">
        <v>2163</v>
      </c>
      <c r="D62" s="58" t="s">
        <v>2164</v>
      </c>
      <c r="E62" s="42" t="s">
        <v>2131</v>
      </c>
      <c r="F62" s="42" t="s">
        <v>2135</v>
      </c>
    </row>
    <row r="63" ht="15.75" customHeight="1">
      <c r="A63" s="42">
        <v>62.0</v>
      </c>
      <c r="B63" s="42" t="s">
        <v>2194</v>
      </c>
      <c r="C63" s="58" t="s">
        <v>2163</v>
      </c>
      <c r="D63" s="58" t="s">
        <v>2164</v>
      </c>
      <c r="E63" s="42" t="s">
        <v>2137</v>
      </c>
      <c r="F63" s="42" t="s">
        <v>2135</v>
      </c>
    </row>
    <row r="64" ht="15.75" customHeight="1">
      <c r="A64" s="42">
        <v>63.0</v>
      </c>
      <c r="B64" s="42" t="s">
        <v>2195</v>
      </c>
      <c r="C64" s="58" t="s">
        <v>2163</v>
      </c>
      <c r="D64" s="58" t="s">
        <v>2164</v>
      </c>
      <c r="E64" s="42" t="s">
        <v>2137</v>
      </c>
      <c r="F64" s="42" t="s">
        <v>2137</v>
      </c>
    </row>
    <row r="65" ht="15.75" customHeight="1">
      <c r="A65" s="42">
        <v>64.0</v>
      </c>
      <c r="B65" s="42" t="s">
        <v>2196</v>
      </c>
      <c r="C65" s="58" t="s">
        <v>2163</v>
      </c>
      <c r="D65" s="58" t="s">
        <v>2164</v>
      </c>
      <c r="E65" s="42" t="s">
        <v>2137</v>
      </c>
      <c r="F65" s="42" t="s">
        <v>2135</v>
      </c>
    </row>
    <row r="66" ht="15.75" customHeight="1">
      <c r="A66" s="42">
        <v>65.0</v>
      </c>
      <c r="B66" s="42" t="s">
        <v>2197</v>
      </c>
      <c r="C66" s="58" t="s">
        <v>2163</v>
      </c>
      <c r="D66" s="58" t="s">
        <v>2164</v>
      </c>
      <c r="E66" s="42" t="s">
        <v>2137</v>
      </c>
      <c r="F66" s="42" t="s">
        <v>2137</v>
      </c>
    </row>
    <row r="67" ht="15.75" customHeight="1">
      <c r="A67" s="42">
        <v>66.0</v>
      </c>
      <c r="B67" s="42" t="s">
        <v>2198</v>
      </c>
      <c r="C67" s="58" t="s">
        <v>2163</v>
      </c>
      <c r="D67" s="58" t="s">
        <v>2164</v>
      </c>
      <c r="E67" s="42" t="s">
        <v>2137</v>
      </c>
      <c r="F67" s="42" t="s">
        <v>2135</v>
      </c>
    </row>
    <row r="68" ht="15.75" customHeight="1">
      <c r="A68" s="42">
        <v>67.0</v>
      </c>
      <c r="B68" s="42" t="s">
        <v>2199</v>
      </c>
      <c r="C68" s="58" t="s">
        <v>2163</v>
      </c>
      <c r="D68" s="58" t="s">
        <v>2164</v>
      </c>
      <c r="E68" s="42" t="s">
        <v>2137</v>
      </c>
      <c r="F68" s="42" t="s">
        <v>2137</v>
      </c>
    </row>
    <row r="69" ht="15.75" customHeight="1">
      <c r="A69" s="42">
        <v>68.0</v>
      </c>
      <c r="B69" s="42" t="s">
        <v>2200</v>
      </c>
      <c r="C69" s="58" t="s">
        <v>2163</v>
      </c>
      <c r="D69" s="58" t="s">
        <v>2164</v>
      </c>
      <c r="E69" s="42" t="s">
        <v>2137</v>
      </c>
      <c r="F69" s="42" t="s">
        <v>2191</v>
      </c>
    </row>
    <row r="70" ht="15.75" customHeight="1">
      <c r="A70" s="42">
        <v>69.0</v>
      </c>
      <c r="B70" s="42" t="s">
        <v>2201</v>
      </c>
      <c r="C70" s="58" t="s">
        <v>2163</v>
      </c>
      <c r="D70" s="58" t="s">
        <v>2164</v>
      </c>
      <c r="E70" s="42" t="s">
        <v>2137</v>
      </c>
      <c r="F70" s="42" t="s">
        <v>2137</v>
      </c>
    </row>
    <row r="71" ht="15.75" customHeight="1">
      <c r="A71" s="42">
        <v>70.0</v>
      </c>
      <c r="B71" s="42" t="s">
        <v>2202</v>
      </c>
      <c r="C71" s="58" t="s">
        <v>2163</v>
      </c>
      <c r="D71" s="58" t="s">
        <v>2164</v>
      </c>
      <c r="E71" s="42" t="s">
        <v>2203</v>
      </c>
      <c r="F71" s="42" t="s">
        <v>2203</v>
      </c>
    </row>
    <row r="72" ht="15.75" customHeight="1">
      <c r="A72" s="42">
        <v>71.0</v>
      </c>
      <c r="B72" s="42" t="s">
        <v>2204</v>
      </c>
      <c r="C72" s="58" t="s">
        <v>2163</v>
      </c>
      <c r="D72" s="58" t="s">
        <v>2164</v>
      </c>
      <c r="E72" s="42" t="s">
        <v>2203</v>
      </c>
      <c r="F72" s="42" t="s">
        <v>2154</v>
      </c>
    </row>
    <row r="73" ht="15.75" customHeight="1">
      <c r="A73" s="42">
        <v>72.0</v>
      </c>
      <c r="B73" s="42" t="s">
        <v>2205</v>
      </c>
      <c r="C73" s="58" t="s">
        <v>2163</v>
      </c>
      <c r="D73" s="58" t="s">
        <v>2164</v>
      </c>
      <c r="E73" s="42" t="s">
        <v>2203</v>
      </c>
      <c r="F73" s="42" t="s">
        <v>2191</v>
      </c>
    </row>
    <row r="74" ht="15.75" customHeight="1">
      <c r="A74" s="42">
        <v>73.0</v>
      </c>
      <c r="B74" s="42" t="s">
        <v>2206</v>
      </c>
      <c r="C74" s="58" t="s">
        <v>2163</v>
      </c>
      <c r="D74" s="58" t="s">
        <v>2164</v>
      </c>
      <c r="E74" s="42" t="s">
        <v>2154</v>
      </c>
      <c r="F74" s="42" t="s">
        <v>2154</v>
      </c>
    </row>
    <row r="75" ht="15.75" customHeight="1">
      <c r="A75" s="42">
        <v>74.0</v>
      </c>
      <c r="B75" s="42" t="s">
        <v>2207</v>
      </c>
      <c r="C75" s="58" t="s">
        <v>2163</v>
      </c>
      <c r="D75" s="58" t="s">
        <v>2164</v>
      </c>
      <c r="E75" s="42" t="s">
        <v>2154</v>
      </c>
      <c r="F75" s="42" t="s">
        <v>2154</v>
      </c>
    </row>
    <row r="76" ht="15.75" customHeight="1">
      <c r="A76" s="42">
        <v>75.0</v>
      </c>
      <c r="B76" s="42" t="s">
        <v>2208</v>
      </c>
      <c r="C76" s="58" t="s">
        <v>2163</v>
      </c>
      <c r="D76" s="58" t="s">
        <v>2164</v>
      </c>
      <c r="E76" s="42" t="s">
        <v>2154</v>
      </c>
      <c r="F76" s="42" t="s">
        <v>2157</v>
      </c>
    </row>
    <row r="77" ht="15.75" customHeight="1">
      <c r="A77" s="42">
        <v>76.0</v>
      </c>
      <c r="B77" s="42" t="s">
        <v>2209</v>
      </c>
      <c r="C77" s="58" t="s">
        <v>2163</v>
      </c>
      <c r="D77" s="58" t="s">
        <v>2164</v>
      </c>
      <c r="E77" s="42" t="s">
        <v>2154</v>
      </c>
      <c r="F77" s="42" t="s">
        <v>2157</v>
      </c>
    </row>
    <row r="78" ht="15.75" customHeight="1">
      <c r="A78" s="42">
        <v>77.0</v>
      </c>
      <c r="B78" s="42" t="s">
        <v>2210</v>
      </c>
      <c r="C78" s="58" t="s">
        <v>2163</v>
      </c>
      <c r="D78" s="58" t="s">
        <v>2164</v>
      </c>
      <c r="E78" s="42" t="s">
        <v>2154</v>
      </c>
      <c r="F78" s="42" t="s">
        <v>2154</v>
      </c>
    </row>
    <row r="79" ht="15.75" customHeight="1">
      <c r="A79" s="42">
        <v>78.0</v>
      </c>
      <c r="B79" s="42" t="s">
        <v>2211</v>
      </c>
      <c r="C79" s="58" t="s">
        <v>2163</v>
      </c>
      <c r="D79" s="58" t="s">
        <v>2164</v>
      </c>
      <c r="E79" s="42" t="s">
        <v>2154</v>
      </c>
      <c r="F79" s="42" t="s">
        <v>2157</v>
      </c>
    </row>
    <row r="80" ht="15.75" customHeight="1">
      <c r="A80" s="42">
        <v>79.0</v>
      </c>
      <c r="B80" s="42" t="s">
        <v>2212</v>
      </c>
      <c r="C80" s="58" t="s">
        <v>2163</v>
      </c>
      <c r="D80" s="58" t="s">
        <v>2164</v>
      </c>
      <c r="E80" s="42" t="s">
        <v>2154</v>
      </c>
      <c r="F80" s="42" t="s">
        <v>2154</v>
      </c>
    </row>
    <row r="81" ht="15.75" customHeight="1">
      <c r="A81" s="42">
        <v>80.0</v>
      </c>
      <c r="B81" s="42" t="s">
        <v>2213</v>
      </c>
      <c r="C81" s="58" t="s">
        <v>2163</v>
      </c>
      <c r="D81" s="58" t="s">
        <v>2164</v>
      </c>
      <c r="E81" s="42" t="s">
        <v>2154</v>
      </c>
      <c r="F81" s="42" t="s">
        <v>2154</v>
      </c>
    </row>
    <row r="82" ht="15.75" customHeight="1">
      <c r="A82" s="42">
        <v>81.0</v>
      </c>
      <c r="B82" s="42" t="s">
        <v>2214</v>
      </c>
      <c r="C82" s="58" t="s">
        <v>2163</v>
      </c>
      <c r="D82" s="58" t="s">
        <v>2164</v>
      </c>
      <c r="E82" s="42" t="s">
        <v>2157</v>
      </c>
      <c r="F82" s="42" t="s">
        <v>2157</v>
      </c>
    </row>
    <row r="83" ht="15.75" customHeight="1">
      <c r="A83" s="42">
        <v>82.0</v>
      </c>
      <c r="B83" s="42" t="s">
        <v>2215</v>
      </c>
      <c r="C83" s="58" t="s">
        <v>2163</v>
      </c>
      <c r="D83" s="58" t="s">
        <v>2164</v>
      </c>
      <c r="E83" s="42" t="s">
        <v>2157</v>
      </c>
      <c r="F83" s="42" t="s">
        <v>2157</v>
      </c>
    </row>
    <row r="84" ht="15.75" customHeight="1">
      <c r="A84" s="42">
        <v>83.0</v>
      </c>
      <c r="B84" s="42" t="s">
        <v>2216</v>
      </c>
      <c r="C84" s="58" t="s">
        <v>2163</v>
      </c>
      <c r="D84" s="58" t="s">
        <v>2164</v>
      </c>
      <c r="E84" s="42" t="s">
        <v>2157</v>
      </c>
      <c r="F84" s="42" t="s">
        <v>2157</v>
      </c>
    </row>
    <row r="85" ht="15.75" customHeight="1">
      <c r="A85" s="42">
        <v>84.0</v>
      </c>
      <c r="B85" s="42" t="s">
        <v>2217</v>
      </c>
      <c r="C85" s="58" t="s">
        <v>2163</v>
      </c>
      <c r="D85" s="58" t="s">
        <v>2164</v>
      </c>
      <c r="E85" s="42" t="s">
        <v>2157</v>
      </c>
      <c r="F85" s="42" t="s">
        <v>2157</v>
      </c>
    </row>
    <row r="86" ht="15.75" customHeight="1">
      <c r="A86" s="42">
        <v>85.0</v>
      </c>
      <c r="B86" s="42" t="s">
        <v>2218</v>
      </c>
      <c r="C86" s="58" t="s">
        <v>2163</v>
      </c>
      <c r="D86" s="58" t="s">
        <v>2164</v>
      </c>
      <c r="E86" s="42" t="s">
        <v>2157</v>
      </c>
      <c r="F86" s="42" t="s">
        <v>2157</v>
      </c>
    </row>
    <row r="87" ht="15.75" customHeight="1">
      <c r="A87" s="42">
        <v>86.0</v>
      </c>
      <c r="B87" s="42" t="s">
        <v>2219</v>
      </c>
      <c r="C87" s="58" t="s">
        <v>2163</v>
      </c>
      <c r="D87" s="58" t="s">
        <v>2164</v>
      </c>
      <c r="E87" s="42" t="s">
        <v>2157</v>
      </c>
      <c r="F87" s="42" t="s">
        <v>2157</v>
      </c>
    </row>
    <row r="88" ht="15.75" customHeight="1">
      <c r="A88" s="42">
        <v>87.0</v>
      </c>
      <c r="B88" s="42" t="s">
        <v>2220</v>
      </c>
      <c r="C88" s="58" t="s">
        <v>2163</v>
      </c>
      <c r="D88" s="58" t="s">
        <v>2164</v>
      </c>
      <c r="E88" s="42" t="s">
        <v>2157</v>
      </c>
      <c r="F88" s="42" t="s">
        <v>2157</v>
      </c>
    </row>
    <row r="89" ht="15.75" customHeight="1">
      <c r="A89" s="42">
        <v>88.0</v>
      </c>
      <c r="B89" s="42" t="s">
        <v>2221</v>
      </c>
      <c r="C89" s="58" t="s">
        <v>2163</v>
      </c>
      <c r="D89" s="58" t="s">
        <v>2164</v>
      </c>
      <c r="E89" s="42" t="s">
        <v>2157</v>
      </c>
      <c r="F89" s="42" t="s">
        <v>2157</v>
      </c>
    </row>
    <row r="90" ht="15.75" customHeight="1">
      <c r="A90" s="42">
        <v>89.0</v>
      </c>
      <c r="B90" s="42" t="s">
        <v>2222</v>
      </c>
      <c r="C90" s="58" t="s">
        <v>2163</v>
      </c>
      <c r="D90" s="58" t="s">
        <v>2164</v>
      </c>
      <c r="E90" s="42" t="s">
        <v>2157</v>
      </c>
      <c r="F90" s="42" t="s">
        <v>2157</v>
      </c>
    </row>
    <row r="91" ht="15.75" customHeight="1">
      <c r="A91" s="42">
        <v>90.0</v>
      </c>
      <c r="B91" s="42" t="s">
        <v>2223</v>
      </c>
      <c r="C91" s="58" t="s">
        <v>2163</v>
      </c>
      <c r="D91" s="58" t="s">
        <v>2164</v>
      </c>
      <c r="E91" s="42" t="s">
        <v>2157</v>
      </c>
      <c r="F91" s="42" t="s">
        <v>2157</v>
      </c>
    </row>
    <row r="92" ht="15.75" customHeight="1">
      <c r="A92" s="42">
        <v>91.0</v>
      </c>
      <c r="B92" s="42" t="s">
        <v>2224</v>
      </c>
      <c r="C92" s="58" t="s">
        <v>2163</v>
      </c>
      <c r="D92" s="58" t="s">
        <v>2164</v>
      </c>
      <c r="E92" s="42" t="s">
        <v>2160</v>
      </c>
      <c r="F92" s="42" t="s">
        <v>2160</v>
      </c>
    </row>
    <row r="93" ht="15.75" customHeight="1">
      <c r="A93" s="42">
        <v>92.0</v>
      </c>
      <c r="B93" s="42" t="s">
        <v>2225</v>
      </c>
      <c r="C93" s="58" t="s">
        <v>2163</v>
      </c>
      <c r="D93" s="58" t="s">
        <v>2164</v>
      </c>
      <c r="E93" s="42" t="s">
        <v>2160</v>
      </c>
      <c r="F93" s="42" t="s">
        <v>2160</v>
      </c>
    </row>
    <row r="94" ht="15.75" customHeight="1">
      <c r="A94" s="42">
        <v>93.0</v>
      </c>
      <c r="B94" s="42" t="s">
        <v>2226</v>
      </c>
      <c r="C94" s="58" t="s">
        <v>2163</v>
      </c>
      <c r="D94" s="58" t="s">
        <v>2164</v>
      </c>
      <c r="E94" s="42" t="s">
        <v>2160</v>
      </c>
      <c r="F94" s="42" t="s">
        <v>2160</v>
      </c>
    </row>
    <row r="95" ht="15.75" customHeight="1">
      <c r="A95" s="42">
        <v>94.0</v>
      </c>
      <c r="B95" s="42" t="s">
        <v>2227</v>
      </c>
      <c r="C95" s="58" t="s">
        <v>2163</v>
      </c>
      <c r="D95" s="58" t="s">
        <v>2164</v>
      </c>
      <c r="E95" s="42" t="s">
        <v>2160</v>
      </c>
      <c r="F95" s="42" t="s">
        <v>2160</v>
      </c>
    </row>
    <row r="96" ht="15.75" customHeight="1">
      <c r="A96" s="42">
        <v>95.0</v>
      </c>
      <c r="B96" s="42" t="s">
        <v>2228</v>
      </c>
      <c r="C96" s="58" t="s">
        <v>2163</v>
      </c>
      <c r="D96" s="58" t="s">
        <v>2164</v>
      </c>
      <c r="E96" s="42" t="s">
        <v>2160</v>
      </c>
      <c r="F96" s="42" t="s">
        <v>2160</v>
      </c>
    </row>
    <row r="97" ht="15.75" customHeight="1">
      <c r="A97" s="42">
        <v>96.0</v>
      </c>
      <c r="B97" s="42" t="s">
        <v>2229</v>
      </c>
      <c r="C97" s="58" t="s">
        <v>2163</v>
      </c>
      <c r="D97" s="58" t="s">
        <v>2164</v>
      </c>
      <c r="E97" s="42" t="s">
        <v>2230</v>
      </c>
      <c r="F97" s="42" t="s">
        <v>2191</v>
      </c>
    </row>
    <row r="98" ht="15.75" customHeight="1">
      <c r="D98" s="32"/>
    </row>
    <row r="99" ht="15.75" customHeight="1">
      <c r="B99" s="59" t="s">
        <v>2231</v>
      </c>
      <c r="D99" s="32"/>
    </row>
    <row r="100" ht="15.75" customHeight="1">
      <c r="D100" s="32"/>
    </row>
    <row r="101" ht="15.75" customHeight="1">
      <c r="D101" s="32"/>
    </row>
    <row r="102" ht="15.75" customHeight="1">
      <c r="D102" s="32"/>
    </row>
    <row r="103" ht="15.75" customHeight="1">
      <c r="D103" s="32"/>
    </row>
    <row r="104" ht="15.75" customHeight="1">
      <c r="D104" s="32"/>
    </row>
    <row r="105" ht="15.75" customHeight="1">
      <c r="D105" s="32"/>
    </row>
    <row r="106" ht="15.75" customHeight="1">
      <c r="D106" s="32"/>
    </row>
    <row r="107" ht="15.75" customHeight="1">
      <c r="D107" s="32"/>
    </row>
    <row r="108" ht="15.75" customHeight="1">
      <c r="D108" s="32"/>
    </row>
    <row r="109" ht="15.75" customHeight="1">
      <c r="D109" s="32"/>
    </row>
    <row r="110" ht="15.75" customHeight="1">
      <c r="D110" s="32"/>
    </row>
    <row r="111" ht="15.75" customHeight="1">
      <c r="D111" s="32"/>
    </row>
    <row r="112" ht="15.75" customHeight="1">
      <c r="D112" s="32"/>
    </row>
    <row r="113" ht="15.75" customHeight="1">
      <c r="D113" s="32"/>
    </row>
    <row r="114" ht="15.75" customHeight="1">
      <c r="D114" s="32"/>
    </row>
    <row r="115" ht="15.75" customHeight="1">
      <c r="D115" s="32"/>
    </row>
    <row r="116" ht="15.75" customHeight="1">
      <c r="D116" s="32"/>
    </row>
    <row r="117" ht="15.75" customHeight="1">
      <c r="D117" s="32"/>
    </row>
    <row r="118" ht="15.75" customHeight="1">
      <c r="D118" s="32"/>
    </row>
    <row r="119" ht="15.75" customHeight="1">
      <c r="D119" s="32"/>
    </row>
    <row r="120" ht="15.75" customHeight="1">
      <c r="D120" s="32"/>
    </row>
    <row r="121" ht="15.75" customHeight="1">
      <c r="D121" s="32"/>
    </row>
    <row r="122" ht="15.75" customHeight="1">
      <c r="D122" s="32"/>
    </row>
    <row r="123" ht="15.75" customHeight="1">
      <c r="D123" s="32"/>
    </row>
    <row r="124" ht="15.75" customHeight="1">
      <c r="D124" s="32"/>
    </row>
    <row r="125" ht="15.75" customHeight="1">
      <c r="D125" s="32"/>
    </row>
    <row r="126" ht="15.75" customHeight="1">
      <c r="D126" s="32"/>
    </row>
    <row r="127" ht="15.75" customHeight="1">
      <c r="D127" s="32"/>
    </row>
    <row r="128" ht="15.75" customHeight="1">
      <c r="D128" s="32"/>
    </row>
    <row r="129" ht="15.75" customHeight="1">
      <c r="D129" s="32"/>
    </row>
    <row r="130" ht="15.75" customHeight="1">
      <c r="D130" s="32"/>
    </row>
    <row r="131" ht="15.75" customHeight="1">
      <c r="D131" s="32"/>
    </row>
    <row r="132" ht="15.75" customHeight="1">
      <c r="D132" s="32"/>
    </row>
    <row r="133" ht="15.75" customHeight="1">
      <c r="D133" s="32"/>
    </row>
    <row r="134" ht="15.75" customHeight="1">
      <c r="D134" s="32"/>
    </row>
    <row r="135" ht="15.75" customHeight="1">
      <c r="D135" s="32"/>
    </row>
    <row r="136" ht="15.75" customHeight="1">
      <c r="D136" s="32"/>
    </row>
    <row r="137" ht="15.75" customHeight="1">
      <c r="D137" s="32"/>
    </row>
    <row r="138" ht="15.75" customHeight="1">
      <c r="D138" s="32"/>
    </row>
    <row r="139" ht="15.75" customHeight="1">
      <c r="D139" s="32"/>
    </row>
    <row r="140" ht="15.75" customHeight="1">
      <c r="D140" s="32"/>
    </row>
    <row r="141" ht="15.75" customHeight="1">
      <c r="D141" s="32"/>
    </row>
    <row r="142" ht="15.75" customHeight="1">
      <c r="D142" s="32"/>
    </row>
    <row r="143" ht="15.75" customHeight="1">
      <c r="D143" s="32"/>
    </row>
    <row r="144" ht="15.75" customHeight="1">
      <c r="D144" s="32"/>
    </row>
    <row r="145" ht="15.75" customHeight="1">
      <c r="D145" s="32"/>
    </row>
    <row r="146" ht="15.75" customHeight="1">
      <c r="D146" s="32"/>
    </row>
    <row r="147" ht="15.75" customHeight="1">
      <c r="D147" s="32"/>
    </row>
    <row r="148" ht="15.75" customHeight="1">
      <c r="D148" s="32"/>
    </row>
    <row r="149" ht="15.75" customHeight="1">
      <c r="D149" s="32"/>
    </row>
    <row r="150" ht="15.75" customHeight="1">
      <c r="D150" s="32"/>
    </row>
    <row r="151" ht="15.75" customHeight="1">
      <c r="D151" s="32"/>
    </row>
    <row r="152" ht="15.75" customHeight="1">
      <c r="D152" s="32"/>
    </row>
    <row r="153" ht="15.75" customHeight="1">
      <c r="D153" s="32"/>
    </row>
    <row r="154" ht="15.75" customHeight="1">
      <c r="D154" s="32"/>
    </row>
    <row r="155" ht="15.75" customHeight="1">
      <c r="D155" s="32"/>
    </row>
    <row r="156" ht="15.75" customHeight="1">
      <c r="D156" s="32"/>
    </row>
    <row r="157" ht="15.75" customHeight="1">
      <c r="D157" s="32"/>
    </row>
    <row r="158" ht="15.75" customHeight="1">
      <c r="D158" s="32"/>
    </row>
    <row r="159" ht="15.75" customHeight="1">
      <c r="D159" s="32"/>
    </row>
    <row r="160" ht="15.75" customHeight="1">
      <c r="D160" s="32"/>
    </row>
    <row r="161" ht="15.75" customHeight="1">
      <c r="D161" s="32"/>
    </row>
    <row r="162" ht="15.75" customHeight="1">
      <c r="D162" s="32"/>
    </row>
    <row r="163" ht="15.75" customHeight="1">
      <c r="D163" s="32"/>
    </row>
    <row r="164" ht="15.75" customHeight="1">
      <c r="D164" s="32"/>
    </row>
    <row r="165" ht="15.75" customHeight="1">
      <c r="D165" s="32"/>
    </row>
    <row r="166" ht="15.75" customHeight="1">
      <c r="D166" s="32"/>
    </row>
    <row r="167" ht="15.75" customHeight="1">
      <c r="D167" s="32"/>
    </row>
    <row r="168" ht="15.75" customHeight="1">
      <c r="D168" s="32"/>
    </row>
    <row r="169" ht="15.75" customHeight="1">
      <c r="D169" s="32"/>
    </row>
    <row r="170" ht="15.75" customHeight="1">
      <c r="D170" s="32"/>
    </row>
    <row r="171" ht="15.75" customHeight="1">
      <c r="D171" s="32"/>
    </row>
    <row r="172" ht="15.75" customHeight="1">
      <c r="D172" s="32"/>
    </row>
    <row r="173" ht="15.75" customHeight="1">
      <c r="D173" s="32"/>
    </row>
    <row r="174" ht="15.75" customHeight="1">
      <c r="D174" s="32"/>
    </row>
    <row r="175" ht="15.75" customHeight="1">
      <c r="D175" s="32"/>
    </row>
    <row r="176" ht="15.75" customHeight="1">
      <c r="D176" s="32"/>
    </row>
    <row r="177" ht="15.75" customHeight="1">
      <c r="D177" s="32"/>
    </row>
    <row r="178" ht="15.75" customHeight="1">
      <c r="D178" s="32"/>
    </row>
    <row r="179" ht="15.75" customHeight="1">
      <c r="D179" s="32"/>
    </row>
    <row r="180" ht="15.75" customHeight="1">
      <c r="D180" s="32"/>
    </row>
    <row r="181" ht="15.75" customHeight="1">
      <c r="D181" s="32"/>
    </row>
    <row r="182" ht="15.75" customHeight="1">
      <c r="D182" s="32"/>
    </row>
    <row r="183" ht="15.75" customHeight="1">
      <c r="D183" s="32"/>
    </row>
    <row r="184" ht="15.75" customHeight="1">
      <c r="D184" s="32"/>
    </row>
    <row r="185" ht="15.75" customHeight="1">
      <c r="D185" s="32"/>
    </row>
    <row r="186" ht="15.75" customHeight="1">
      <c r="D186" s="32"/>
    </row>
    <row r="187" ht="15.75" customHeight="1">
      <c r="D187" s="32"/>
    </row>
    <row r="188" ht="15.75" customHeight="1">
      <c r="D188" s="32"/>
    </row>
    <row r="189" ht="15.75" customHeight="1">
      <c r="D189" s="32"/>
    </row>
    <row r="190" ht="15.75" customHeight="1">
      <c r="D190" s="32"/>
    </row>
    <row r="191" ht="15.75" customHeight="1">
      <c r="D191" s="32"/>
    </row>
    <row r="192" ht="15.75" customHeight="1">
      <c r="D192" s="32"/>
    </row>
    <row r="193" ht="15.75" customHeight="1">
      <c r="D193" s="32"/>
    </row>
    <row r="194" ht="15.75" customHeight="1">
      <c r="D194" s="32"/>
    </row>
    <row r="195" ht="15.75" customHeight="1">
      <c r="D195" s="32"/>
    </row>
    <row r="196" ht="15.75" customHeight="1">
      <c r="D196" s="32"/>
    </row>
    <row r="197" ht="15.75" customHeight="1">
      <c r="D197" s="32"/>
    </row>
    <row r="198" ht="15.75" customHeight="1">
      <c r="D198" s="32"/>
    </row>
    <row r="199" ht="15.75" customHeight="1">
      <c r="D199" s="32"/>
    </row>
    <row r="200" ht="15.75" customHeight="1">
      <c r="D200" s="32"/>
    </row>
    <row r="201" ht="15.75" customHeight="1">
      <c r="D201" s="32"/>
    </row>
    <row r="202" ht="15.75" customHeight="1">
      <c r="D202" s="32"/>
    </row>
    <row r="203" ht="15.75" customHeight="1">
      <c r="D203" s="32"/>
    </row>
    <row r="204" ht="15.75" customHeight="1">
      <c r="D204" s="32"/>
    </row>
    <row r="205" ht="15.75" customHeight="1">
      <c r="D205" s="32"/>
    </row>
    <row r="206" ht="15.75" customHeight="1">
      <c r="D206" s="32"/>
    </row>
    <row r="207" ht="15.75" customHeight="1">
      <c r="D207" s="32"/>
    </row>
    <row r="208" ht="15.75" customHeight="1">
      <c r="D208" s="32"/>
    </row>
    <row r="209" ht="15.75" customHeight="1">
      <c r="D209" s="32"/>
    </row>
    <row r="210" ht="15.75" customHeight="1">
      <c r="D210" s="32"/>
    </row>
    <row r="211" ht="15.75" customHeight="1">
      <c r="D211" s="32"/>
    </row>
    <row r="212" ht="15.75" customHeight="1">
      <c r="D212" s="32"/>
    </row>
    <row r="213" ht="15.75" customHeight="1">
      <c r="D213" s="32"/>
    </row>
    <row r="214" ht="15.75" customHeight="1">
      <c r="D214" s="32"/>
    </row>
    <row r="215" ht="15.75" customHeight="1">
      <c r="D215" s="32"/>
    </row>
    <row r="216" ht="15.75" customHeight="1">
      <c r="D216" s="32"/>
    </row>
    <row r="217" ht="15.75" customHeight="1">
      <c r="D217" s="32"/>
    </row>
    <row r="218" ht="15.75" customHeight="1">
      <c r="D218" s="32"/>
    </row>
    <row r="219" ht="15.75" customHeight="1">
      <c r="D219" s="32"/>
    </row>
    <row r="220" ht="15.75" customHeight="1">
      <c r="D220" s="32"/>
    </row>
    <row r="221" ht="15.75" customHeight="1">
      <c r="D221" s="32"/>
    </row>
    <row r="222" ht="15.75" customHeight="1">
      <c r="D222" s="32"/>
    </row>
    <row r="223" ht="15.75" customHeight="1">
      <c r="D223" s="32"/>
    </row>
    <row r="224" ht="15.75" customHeight="1">
      <c r="D224" s="32"/>
    </row>
    <row r="225" ht="15.75" customHeight="1">
      <c r="D225" s="32"/>
    </row>
    <row r="226" ht="15.75" customHeight="1">
      <c r="D226" s="32"/>
    </row>
    <row r="227" ht="15.75" customHeight="1">
      <c r="D227" s="32"/>
    </row>
    <row r="228" ht="15.75" customHeight="1">
      <c r="D228" s="32"/>
    </row>
    <row r="229" ht="15.75" customHeight="1">
      <c r="D229" s="32"/>
    </row>
    <row r="230" ht="15.75" customHeight="1">
      <c r="D230" s="32"/>
    </row>
    <row r="231" ht="15.75" customHeight="1">
      <c r="D231" s="32"/>
    </row>
    <row r="232" ht="15.75" customHeight="1">
      <c r="D232" s="32"/>
    </row>
    <row r="233" ht="15.75" customHeight="1">
      <c r="D233" s="32"/>
    </row>
    <row r="234" ht="15.75" customHeight="1">
      <c r="D234" s="32"/>
    </row>
    <row r="235" ht="15.75" customHeight="1">
      <c r="D235" s="32"/>
    </row>
    <row r="236" ht="15.75" customHeight="1">
      <c r="D236" s="32"/>
    </row>
    <row r="237" ht="15.75" customHeight="1">
      <c r="D237" s="32"/>
    </row>
    <row r="238" ht="15.75" customHeight="1">
      <c r="D238" s="32"/>
    </row>
    <row r="239" ht="15.75" customHeight="1">
      <c r="D239" s="32"/>
    </row>
    <row r="240" ht="15.75" customHeight="1">
      <c r="D240" s="32"/>
    </row>
    <row r="241" ht="15.75" customHeight="1">
      <c r="D241" s="32"/>
    </row>
    <row r="242" ht="15.75" customHeight="1">
      <c r="D242" s="32"/>
    </row>
    <row r="243" ht="15.75" customHeight="1">
      <c r="D243" s="32"/>
    </row>
    <row r="244" ht="15.75" customHeight="1">
      <c r="D244" s="32"/>
    </row>
    <row r="245" ht="15.75" customHeight="1">
      <c r="D245" s="32"/>
    </row>
    <row r="246" ht="15.75" customHeight="1">
      <c r="D246" s="32"/>
    </row>
    <row r="247" ht="15.75" customHeight="1">
      <c r="D247" s="32"/>
    </row>
    <row r="248" ht="15.75" customHeight="1">
      <c r="D248" s="32"/>
    </row>
    <row r="249" ht="15.75" customHeight="1">
      <c r="D249" s="32"/>
    </row>
    <row r="250" ht="15.75" customHeight="1">
      <c r="D250" s="32"/>
    </row>
    <row r="251" ht="15.75" customHeight="1">
      <c r="D251" s="32"/>
    </row>
    <row r="252" ht="15.75" customHeight="1">
      <c r="D252" s="32"/>
    </row>
    <row r="253" ht="15.75" customHeight="1">
      <c r="D253" s="32"/>
    </row>
    <row r="254" ht="15.75" customHeight="1">
      <c r="D254" s="32"/>
    </row>
    <row r="255" ht="15.75" customHeight="1">
      <c r="D255" s="32"/>
    </row>
    <row r="256" ht="15.75" customHeight="1">
      <c r="D256" s="32"/>
    </row>
    <row r="257" ht="15.75" customHeight="1">
      <c r="D257" s="32"/>
    </row>
    <row r="258" ht="15.75" customHeight="1">
      <c r="D258" s="32"/>
    </row>
    <row r="259" ht="15.75" customHeight="1">
      <c r="D259" s="32"/>
    </row>
    <row r="260" ht="15.75" customHeight="1">
      <c r="D260" s="32"/>
    </row>
    <row r="261" ht="15.75" customHeight="1">
      <c r="D261" s="32"/>
    </row>
    <row r="262" ht="15.75" customHeight="1">
      <c r="D262" s="32"/>
    </row>
    <row r="263" ht="15.75" customHeight="1">
      <c r="D263" s="32"/>
    </row>
    <row r="264" ht="15.75" customHeight="1">
      <c r="D264" s="32"/>
    </row>
    <row r="265" ht="15.75" customHeight="1">
      <c r="D265" s="32"/>
    </row>
    <row r="266" ht="15.75" customHeight="1">
      <c r="D266" s="32"/>
    </row>
    <row r="267" ht="15.75" customHeight="1">
      <c r="D267" s="32"/>
    </row>
    <row r="268" ht="15.75" customHeight="1">
      <c r="D268" s="32"/>
    </row>
    <row r="269" ht="15.75" customHeight="1">
      <c r="D269" s="32"/>
    </row>
    <row r="270" ht="15.75" customHeight="1">
      <c r="D270" s="32"/>
    </row>
    <row r="271" ht="15.75" customHeight="1">
      <c r="D271" s="32"/>
    </row>
    <row r="272" ht="15.75" customHeight="1">
      <c r="D272" s="32"/>
    </row>
    <row r="273" ht="15.75" customHeight="1">
      <c r="D273" s="32"/>
    </row>
    <row r="274" ht="15.75" customHeight="1">
      <c r="D274" s="32"/>
    </row>
    <row r="275" ht="15.75" customHeight="1">
      <c r="D275" s="32"/>
    </row>
    <row r="276" ht="15.75" customHeight="1">
      <c r="D276" s="32"/>
    </row>
    <row r="277" ht="15.75" customHeight="1">
      <c r="D277" s="32"/>
    </row>
    <row r="278" ht="15.75" customHeight="1">
      <c r="D278" s="32"/>
    </row>
    <row r="279" ht="15.75" customHeight="1">
      <c r="D279" s="32"/>
    </row>
    <row r="280" ht="15.75" customHeight="1">
      <c r="D280" s="32"/>
    </row>
    <row r="281" ht="15.75" customHeight="1">
      <c r="D281" s="32"/>
    </row>
    <row r="282" ht="15.75" customHeight="1">
      <c r="D282" s="32"/>
    </row>
    <row r="283" ht="15.75" customHeight="1">
      <c r="D283" s="32"/>
    </row>
    <row r="284" ht="15.75" customHeight="1">
      <c r="D284" s="32"/>
    </row>
    <row r="285" ht="15.75" customHeight="1">
      <c r="D285" s="32"/>
    </row>
    <row r="286" ht="15.75" customHeight="1">
      <c r="D286" s="32"/>
    </row>
    <row r="287" ht="15.75" customHeight="1">
      <c r="D287" s="32"/>
    </row>
    <row r="288" ht="15.75" customHeight="1">
      <c r="D288" s="32"/>
    </row>
    <row r="289" ht="15.75" customHeight="1">
      <c r="D289" s="32"/>
    </row>
    <row r="290" ht="15.75" customHeight="1">
      <c r="D290" s="32"/>
    </row>
    <row r="291" ht="15.75" customHeight="1">
      <c r="D291" s="32"/>
    </row>
    <row r="292" ht="15.75" customHeight="1">
      <c r="D292" s="32"/>
    </row>
    <row r="293" ht="15.75" customHeight="1">
      <c r="D293" s="32"/>
    </row>
    <row r="294" ht="15.75" customHeight="1">
      <c r="D294" s="32"/>
    </row>
    <row r="295" ht="15.75" customHeight="1">
      <c r="D295" s="32"/>
    </row>
    <row r="296" ht="15.75" customHeight="1">
      <c r="D296" s="32"/>
    </row>
    <row r="297" ht="15.75" customHeight="1">
      <c r="D297" s="32"/>
    </row>
    <row r="298" ht="15.75" customHeight="1">
      <c r="D298" s="32"/>
    </row>
    <row r="299" ht="15.75" customHeight="1">
      <c r="D299" s="32"/>
    </row>
    <row r="300" ht="15.75" customHeight="1">
      <c r="D300" s="41"/>
    </row>
    <row r="301" ht="15.75" customHeight="1">
      <c r="D301" s="41"/>
    </row>
    <row r="302" ht="15.75" customHeight="1">
      <c r="D302" s="41"/>
    </row>
    <row r="303" ht="15.75" customHeight="1">
      <c r="D303" s="41"/>
    </row>
    <row r="304" ht="15.75" customHeight="1">
      <c r="D304" s="41"/>
    </row>
    <row r="305" ht="15.75" customHeight="1">
      <c r="D305" s="41"/>
    </row>
    <row r="306" ht="15.75" customHeight="1">
      <c r="D306" s="41"/>
    </row>
    <row r="307" ht="15.75" customHeight="1">
      <c r="D307" s="41"/>
    </row>
    <row r="308" ht="15.75" customHeight="1">
      <c r="D308" s="41"/>
    </row>
    <row r="309" ht="15.75" customHeight="1">
      <c r="D309" s="41"/>
    </row>
    <row r="310" ht="15.75" customHeight="1">
      <c r="D310" s="41"/>
    </row>
    <row r="311" ht="15.75" customHeight="1">
      <c r="D311" s="41"/>
    </row>
    <row r="312" ht="15.75" customHeight="1">
      <c r="D312" s="41"/>
    </row>
    <row r="313" ht="15.75" customHeight="1">
      <c r="D313" s="41"/>
    </row>
    <row r="314" ht="15.75" customHeight="1">
      <c r="D314" s="41"/>
    </row>
    <row r="315" ht="15.75" customHeight="1">
      <c r="D315" s="41"/>
    </row>
    <row r="316" ht="15.75" customHeight="1">
      <c r="D316" s="41"/>
    </row>
    <row r="317" ht="15.75" customHeight="1">
      <c r="D317" s="41"/>
    </row>
    <row r="318" ht="15.75" customHeight="1">
      <c r="D318" s="41"/>
    </row>
    <row r="319" ht="15.75" customHeight="1">
      <c r="D319" s="41"/>
    </row>
    <row r="320" ht="15.75" customHeight="1">
      <c r="D320" s="41"/>
    </row>
    <row r="321" ht="15.75" customHeight="1">
      <c r="D321" s="41"/>
    </row>
    <row r="322" ht="15.75" customHeight="1">
      <c r="D322" s="41"/>
    </row>
    <row r="323" ht="15.75" customHeight="1">
      <c r="D323" s="41"/>
    </row>
    <row r="324" ht="15.75" customHeight="1">
      <c r="D324" s="41"/>
    </row>
    <row r="325" ht="15.75" customHeight="1">
      <c r="D325" s="41"/>
    </row>
    <row r="326" ht="15.75" customHeight="1">
      <c r="D326" s="41"/>
    </row>
    <row r="327" ht="15.75" customHeight="1">
      <c r="D327" s="41"/>
    </row>
    <row r="328" ht="15.75" customHeight="1">
      <c r="D328" s="41"/>
    </row>
    <row r="329" ht="15.75" customHeight="1">
      <c r="D329" s="41"/>
    </row>
    <row r="330" ht="15.75" customHeight="1">
      <c r="D330" s="41"/>
    </row>
    <row r="331" ht="15.75" customHeight="1">
      <c r="D331" s="41"/>
    </row>
    <row r="332" ht="15.75" customHeight="1">
      <c r="D332" s="41"/>
    </row>
    <row r="333" ht="15.75" customHeight="1">
      <c r="D333" s="41"/>
    </row>
    <row r="334" ht="15.75" customHeight="1">
      <c r="D334" s="41"/>
    </row>
    <row r="335" ht="15.75" customHeight="1">
      <c r="D335" s="41"/>
    </row>
    <row r="336" ht="15.75" customHeight="1">
      <c r="D336" s="41"/>
    </row>
    <row r="337" ht="15.75" customHeight="1">
      <c r="D337" s="41"/>
    </row>
    <row r="338" ht="15.75" customHeight="1">
      <c r="D338" s="41"/>
    </row>
    <row r="339" ht="15.75" customHeight="1">
      <c r="D339" s="41"/>
    </row>
    <row r="340" ht="15.75" customHeight="1">
      <c r="D340" s="41"/>
    </row>
    <row r="341" ht="15.75" customHeight="1">
      <c r="D341" s="41"/>
    </row>
    <row r="342" ht="15.75" customHeight="1">
      <c r="D342" s="41"/>
    </row>
    <row r="343" ht="15.75" customHeight="1">
      <c r="D343" s="41"/>
    </row>
    <row r="344" ht="15.75" customHeight="1">
      <c r="D344" s="41"/>
    </row>
    <row r="345" ht="15.75" customHeight="1">
      <c r="D345" s="41"/>
    </row>
    <row r="346" ht="15.75" customHeight="1">
      <c r="D346" s="41"/>
    </row>
    <row r="347" ht="15.75" customHeight="1">
      <c r="D347" s="41"/>
    </row>
    <row r="348" ht="15.75" customHeight="1">
      <c r="D348" s="41"/>
    </row>
    <row r="349" ht="15.75" customHeight="1">
      <c r="D349" s="41"/>
    </row>
    <row r="350" ht="15.75" customHeight="1">
      <c r="D350" s="41"/>
    </row>
    <row r="351" ht="15.75" customHeight="1">
      <c r="D351" s="41"/>
    </row>
    <row r="352" ht="15.75" customHeight="1">
      <c r="D352" s="41"/>
    </row>
    <row r="353" ht="15.75" customHeight="1">
      <c r="D353" s="41"/>
    </row>
    <row r="354" ht="15.75" customHeight="1">
      <c r="D354" s="41"/>
    </row>
    <row r="355" ht="15.75" customHeight="1">
      <c r="D355" s="41"/>
    </row>
    <row r="356" ht="15.75" customHeight="1">
      <c r="D356" s="41"/>
    </row>
    <row r="357" ht="15.75" customHeight="1">
      <c r="D357" s="41"/>
    </row>
    <row r="358" ht="15.75" customHeight="1">
      <c r="D358" s="41"/>
    </row>
    <row r="359" ht="15.75" customHeight="1">
      <c r="D359" s="41"/>
    </row>
    <row r="360" ht="15.75" customHeight="1">
      <c r="D360" s="41"/>
    </row>
    <row r="361" ht="15.75" customHeight="1">
      <c r="D361" s="41"/>
    </row>
    <row r="362" ht="15.75" customHeight="1">
      <c r="D362" s="41"/>
    </row>
    <row r="363" ht="15.75" customHeight="1">
      <c r="D363" s="41"/>
    </row>
    <row r="364" ht="15.75" customHeight="1">
      <c r="D364" s="41"/>
    </row>
    <row r="365" ht="15.75" customHeight="1">
      <c r="D365" s="41"/>
    </row>
    <row r="366" ht="15.75" customHeight="1">
      <c r="D366" s="41"/>
    </row>
    <row r="367" ht="15.75" customHeight="1">
      <c r="D367" s="41"/>
    </row>
    <row r="368" ht="15.75" customHeight="1">
      <c r="D368" s="41"/>
    </row>
    <row r="369" ht="15.75" customHeight="1">
      <c r="D369" s="41"/>
    </row>
    <row r="370" ht="15.75" customHeight="1">
      <c r="D370" s="41"/>
    </row>
    <row r="371" ht="15.75" customHeight="1">
      <c r="D371" s="41"/>
    </row>
    <row r="372" ht="15.75" customHeight="1">
      <c r="D372" s="41"/>
    </row>
    <row r="373" ht="15.75" customHeight="1">
      <c r="D373" s="41"/>
    </row>
    <row r="374" ht="15.75" customHeight="1">
      <c r="D374" s="41"/>
    </row>
    <row r="375" ht="15.75" customHeight="1">
      <c r="D375" s="41"/>
    </row>
    <row r="376" ht="15.75" customHeight="1">
      <c r="D376" s="41"/>
    </row>
    <row r="377" ht="15.75" customHeight="1">
      <c r="D377" s="41"/>
    </row>
    <row r="378" ht="15.75" customHeight="1">
      <c r="D378" s="41"/>
    </row>
    <row r="379" ht="15.75" customHeight="1">
      <c r="D379" s="41"/>
    </row>
    <row r="380" ht="15.75" customHeight="1">
      <c r="D380" s="41"/>
    </row>
    <row r="381" ht="15.75" customHeight="1">
      <c r="D381" s="41"/>
    </row>
    <row r="382" ht="15.75" customHeight="1">
      <c r="D382" s="41"/>
    </row>
    <row r="383" ht="15.75" customHeight="1">
      <c r="D383" s="41"/>
    </row>
    <row r="384" ht="15.75" customHeight="1">
      <c r="D384" s="41"/>
    </row>
    <row r="385" ht="15.75" customHeight="1">
      <c r="D385" s="41"/>
    </row>
    <row r="386" ht="15.75" customHeight="1">
      <c r="D386" s="41"/>
    </row>
    <row r="387" ht="15.75" customHeight="1">
      <c r="D387" s="41"/>
    </row>
    <row r="388" ht="15.75" customHeight="1">
      <c r="D388" s="41"/>
    </row>
    <row r="389" ht="15.75" customHeight="1">
      <c r="D389" s="41"/>
    </row>
    <row r="390" ht="15.75" customHeight="1">
      <c r="D390" s="41"/>
    </row>
    <row r="391" ht="15.75" customHeight="1">
      <c r="D391" s="41"/>
    </row>
    <row r="392" ht="15.75" customHeight="1">
      <c r="D392" s="41"/>
    </row>
    <row r="393" ht="15.75" customHeight="1">
      <c r="D393" s="41"/>
    </row>
    <row r="394" ht="15.75" customHeight="1">
      <c r="D394" s="41"/>
    </row>
    <row r="395" ht="15.75" customHeight="1">
      <c r="D395" s="41"/>
    </row>
    <row r="396" ht="15.75" customHeight="1">
      <c r="D396" s="41"/>
    </row>
    <row r="397" ht="15.75" customHeight="1">
      <c r="D397" s="41"/>
    </row>
    <row r="398" ht="15.75" customHeight="1">
      <c r="D398" s="41"/>
    </row>
    <row r="399" ht="15.75" customHeight="1">
      <c r="D399" s="41"/>
    </row>
    <row r="400" ht="15.75" customHeight="1">
      <c r="D400" s="41"/>
    </row>
    <row r="401" ht="15.75" customHeight="1">
      <c r="D401" s="41"/>
    </row>
    <row r="402" ht="15.75" customHeight="1">
      <c r="D402" s="41"/>
    </row>
    <row r="403" ht="15.75" customHeight="1">
      <c r="D403" s="41"/>
    </row>
    <row r="404" ht="15.75" customHeight="1">
      <c r="D404" s="41"/>
    </row>
    <row r="405" ht="15.75" customHeight="1">
      <c r="D405" s="41"/>
    </row>
    <row r="406" ht="15.75" customHeight="1">
      <c r="D406" s="41"/>
    </row>
    <row r="407" ht="15.75" customHeight="1">
      <c r="D407" s="41"/>
    </row>
    <row r="408" ht="15.75" customHeight="1">
      <c r="D408" s="41"/>
    </row>
    <row r="409" ht="15.75" customHeight="1">
      <c r="D409" s="41"/>
    </row>
    <row r="410" ht="15.75" customHeight="1">
      <c r="D410" s="41"/>
    </row>
    <row r="411" ht="15.75" customHeight="1">
      <c r="D411" s="41"/>
    </row>
    <row r="412" ht="15.75" customHeight="1">
      <c r="D412" s="41"/>
    </row>
    <row r="413" ht="15.75" customHeight="1">
      <c r="D413" s="41"/>
    </row>
    <row r="414" ht="15.75" customHeight="1">
      <c r="D414" s="41"/>
    </row>
    <row r="415" ht="15.75" customHeight="1">
      <c r="D415" s="41"/>
    </row>
    <row r="416" ht="15.75" customHeight="1">
      <c r="D416" s="41"/>
    </row>
    <row r="417" ht="15.75" customHeight="1">
      <c r="D417" s="41"/>
    </row>
    <row r="418" ht="15.75" customHeight="1">
      <c r="D418" s="41"/>
    </row>
    <row r="419" ht="15.75" customHeight="1">
      <c r="D419" s="41"/>
    </row>
    <row r="420" ht="15.75" customHeight="1">
      <c r="D420" s="41"/>
    </row>
    <row r="421" ht="15.75" customHeight="1">
      <c r="D421" s="41"/>
    </row>
    <row r="422" ht="15.75" customHeight="1">
      <c r="D422" s="41"/>
    </row>
    <row r="423" ht="15.75" customHeight="1">
      <c r="D423" s="41"/>
    </row>
    <row r="424" ht="15.75" customHeight="1">
      <c r="D424" s="41"/>
    </row>
    <row r="425" ht="15.75" customHeight="1">
      <c r="D425" s="41"/>
    </row>
    <row r="426" ht="15.75" customHeight="1">
      <c r="D426" s="41"/>
    </row>
    <row r="427" ht="15.75" customHeight="1">
      <c r="D427" s="41"/>
    </row>
    <row r="428" ht="15.75" customHeight="1">
      <c r="D428" s="41"/>
    </row>
    <row r="429" ht="15.75" customHeight="1">
      <c r="D429" s="41"/>
    </row>
    <row r="430" ht="15.75" customHeight="1">
      <c r="D430" s="41"/>
    </row>
    <row r="431" ht="15.75" customHeight="1">
      <c r="D431" s="41"/>
    </row>
    <row r="432" ht="15.75" customHeight="1">
      <c r="D432" s="41"/>
    </row>
    <row r="433" ht="15.75" customHeight="1">
      <c r="D433" s="41"/>
    </row>
    <row r="434" ht="15.75" customHeight="1">
      <c r="D434" s="41"/>
    </row>
    <row r="435" ht="15.75" customHeight="1">
      <c r="D435" s="41"/>
    </row>
    <row r="436" ht="15.75" customHeight="1">
      <c r="D436" s="41"/>
    </row>
    <row r="437" ht="15.75" customHeight="1">
      <c r="D437" s="41"/>
    </row>
    <row r="438" ht="15.75" customHeight="1">
      <c r="D438" s="41"/>
    </row>
    <row r="439" ht="15.75" customHeight="1">
      <c r="D439" s="41"/>
    </row>
    <row r="440" ht="15.75" customHeight="1">
      <c r="D440" s="41"/>
    </row>
    <row r="441" ht="15.75" customHeight="1">
      <c r="D441" s="41"/>
    </row>
    <row r="442" ht="15.75" customHeight="1">
      <c r="D442" s="41"/>
    </row>
    <row r="443" ht="15.75" customHeight="1">
      <c r="D443" s="41"/>
    </row>
    <row r="444" ht="15.75" customHeight="1">
      <c r="D444" s="41"/>
    </row>
    <row r="445" ht="15.75" customHeight="1">
      <c r="D445" s="41"/>
    </row>
    <row r="446" ht="15.75" customHeight="1">
      <c r="D446" s="41"/>
    </row>
    <row r="447" ht="15.75" customHeight="1">
      <c r="D447" s="41"/>
    </row>
    <row r="448" ht="15.75" customHeight="1">
      <c r="D448" s="41"/>
    </row>
    <row r="449" ht="15.75" customHeight="1">
      <c r="D449" s="41"/>
    </row>
    <row r="450" ht="15.75" customHeight="1">
      <c r="D450" s="41"/>
    </row>
    <row r="451" ht="15.75" customHeight="1">
      <c r="D451" s="41"/>
    </row>
    <row r="452" ht="15.75" customHeight="1">
      <c r="D452" s="41"/>
    </row>
    <row r="453" ht="15.75" customHeight="1">
      <c r="D453" s="41"/>
    </row>
    <row r="454" ht="15.75" customHeight="1">
      <c r="D454" s="41"/>
    </row>
    <row r="455" ht="15.75" customHeight="1">
      <c r="D455" s="41"/>
    </row>
    <row r="456" ht="15.75" customHeight="1">
      <c r="D456" s="41"/>
    </row>
    <row r="457" ht="15.75" customHeight="1">
      <c r="D457" s="41"/>
    </row>
    <row r="458" ht="15.75" customHeight="1">
      <c r="D458" s="41"/>
    </row>
    <row r="459" ht="15.75" customHeight="1">
      <c r="D459" s="41"/>
    </row>
    <row r="460" ht="15.75" customHeight="1">
      <c r="D460" s="41"/>
    </row>
    <row r="461" ht="15.75" customHeight="1">
      <c r="D461" s="41"/>
    </row>
    <row r="462" ht="15.75" customHeight="1">
      <c r="D462" s="41"/>
    </row>
    <row r="463" ht="15.75" customHeight="1">
      <c r="D463" s="41"/>
    </row>
    <row r="464" ht="15.75" customHeight="1">
      <c r="D464" s="41"/>
    </row>
    <row r="465" ht="15.75" customHeight="1">
      <c r="D465" s="41"/>
    </row>
    <row r="466" ht="15.75" customHeight="1">
      <c r="D466" s="41"/>
    </row>
    <row r="467" ht="15.75" customHeight="1">
      <c r="D467" s="41"/>
    </row>
    <row r="468" ht="15.75" customHeight="1">
      <c r="D468" s="41"/>
    </row>
    <row r="469" ht="15.75" customHeight="1">
      <c r="D469" s="41"/>
    </row>
    <row r="470" ht="15.75" customHeight="1">
      <c r="D470" s="41"/>
    </row>
    <row r="471" ht="15.75" customHeight="1">
      <c r="D471" s="41"/>
    </row>
    <row r="472" ht="15.75" customHeight="1">
      <c r="D472" s="41"/>
    </row>
    <row r="473" ht="15.75" customHeight="1">
      <c r="D473" s="41"/>
    </row>
    <row r="474" ht="15.75" customHeight="1">
      <c r="D474" s="41"/>
    </row>
    <row r="475" ht="15.75" customHeight="1">
      <c r="D475" s="41"/>
    </row>
    <row r="476" ht="15.75" customHeight="1">
      <c r="D476" s="41"/>
    </row>
    <row r="477" ht="15.75" customHeight="1">
      <c r="D477" s="41"/>
    </row>
    <row r="478" ht="15.75" customHeight="1">
      <c r="D478" s="41"/>
    </row>
    <row r="479" ht="15.75" customHeight="1">
      <c r="D479" s="41"/>
    </row>
    <row r="480" ht="15.75" customHeight="1">
      <c r="D480" s="41"/>
    </row>
    <row r="481" ht="15.75" customHeight="1">
      <c r="D481" s="41"/>
    </row>
    <row r="482" ht="15.75" customHeight="1">
      <c r="D482" s="41"/>
    </row>
    <row r="483" ht="15.75" customHeight="1">
      <c r="D483" s="41"/>
    </row>
    <row r="484" ht="15.75" customHeight="1">
      <c r="D484" s="41"/>
    </row>
    <row r="485" ht="15.75" customHeight="1">
      <c r="D485" s="41"/>
    </row>
    <row r="486" ht="15.75" customHeight="1">
      <c r="D486" s="41"/>
    </row>
    <row r="487" ht="15.75" customHeight="1">
      <c r="D487" s="41"/>
    </row>
    <row r="488" ht="15.75" customHeight="1">
      <c r="D488" s="41"/>
    </row>
    <row r="489" ht="15.75" customHeight="1">
      <c r="D489" s="41"/>
    </row>
    <row r="490" ht="15.75" customHeight="1">
      <c r="D490" s="41"/>
    </row>
    <row r="491" ht="15.75" customHeight="1">
      <c r="D491" s="41"/>
    </row>
    <row r="492" ht="15.75" customHeight="1">
      <c r="D492" s="41"/>
    </row>
    <row r="493" ht="15.75" customHeight="1">
      <c r="D493" s="41"/>
    </row>
    <row r="494" ht="15.75" customHeight="1">
      <c r="D494" s="41"/>
    </row>
    <row r="495" ht="15.75" customHeight="1">
      <c r="D495" s="41"/>
    </row>
    <row r="496" ht="15.75" customHeight="1">
      <c r="D496" s="41"/>
    </row>
    <row r="497" ht="15.75" customHeight="1">
      <c r="D497" s="41"/>
    </row>
    <row r="498" ht="15.75" customHeight="1">
      <c r="D498" s="41"/>
    </row>
    <row r="499" ht="15.75" customHeight="1">
      <c r="D499" s="41"/>
    </row>
    <row r="500" ht="15.75" customHeight="1">
      <c r="D500" s="41"/>
    </row>
    <row r="501" ht="15.75" customHeight="1">
      <c r="D501" s="41"/>
    </row>
    <row r="502" ht="15.75" customHeight="1">
      <c r="D502" s="41"/>
    </row>
    <row r="503" ht="15.75" customHeight="1">
      <c r="D503" s="41"/>
    </row>
    <row r="504" ht="15.75" customHeight="1">
      <c r="D504" s="41"/>
    </row>
    <row r="505" ht="15.75" customHeight="1">
      <c r="D505" s="41"/>
    </row>
    <row r="506" ht="15.75" customHeight="1">
      <c r="D506" s="41"/>
    </row>
    <row r="507" ht="15.75" customHeight="1">
      <c r="D507" s="41"/>
    </row>
    <row r="508" ht="15.75" customHeight="1">
      <c r="D508" s="41"/>
    </row>
    <row r="509" ht="15.75" customHeight="1">
      <c r="D509" s="41"/>
    </row>
    <row r="510" ht="15.75" customHeight="1">
      <c r="D510" s="41"/>
    </row>
    <row r="511" ht="15.75" customHeight="1">
      <c r="D511" s="41"/>
    </row>
    <row r="512" ht="15.75" customHeight="1">
      <c r="D512" s="41"/>
    </row>
    <row r="513" ht="15.75" customHeight="1">
      <c r="D513" s="41"/>
    </row>
    <row r="514" ht="15.75" customHeight="1">
      <c r="D514" s="41"/>
    </row>
    <row r="515" ht="15.75" customHeight="1">
      <c r="D515" s="41"/>
    </row>
    <row r="516" ht="15.75" customHeight="1">
      <c r="D516" s="41"/>
    </row>
    <row r="517" ht="15.75" customHeight="1">
      <c r="D517" s="41"/>
    </row>
    <row r="518" ht="15.75" customHeight="1">
      <c r="D518" s="41"/>
    </row>
    <row r="519" ht="15.75" customHeight="1">
      <c r="D519" s="41"/>
    </row>
    <row r="520" ht="15.75" customHeight="1">
      <c r="D520" s="41"/>
    </row>
    <row r="521" ht="15.75" customHeight="1">
      <c r="D521" s="41"/>
    </row>
    <row r="522" ht="15.75" customHeight="1">
      <c r="D522" s="41"/>
    </row>
    <row r="523" ht="15.75" customHeight="1">
      <c r="D523" s="41"/>
    </row>
    <row r="524" ht="15.75" customHeight="1">
      <c r="D524" s="41"/>
    </row>
    <row r="525" ht="15.75" customHeight="1">
      <c r="D525" s="41"/>
    </row>
    <row r="526" ht="15.75" customHeight="1">
      <c r="D526" s="41"/>
    </row>
    <row r="527" ht="15.75" customHeight="1">
      <c r="D527" s="41"/>
    </row>
    <row r="528" ht="15.75" customHeight="1">
      <c r="D528" s="41"/>
    </row>
    <row r="529" ht="15.75" customHeight="1">
      <c r="D529" s="41"/>
    </row>
    <row r="530" ht="15.75" customHeight="1">
      <c r="D530" s="41"/>
    </row>
    <row r="531" ht="15.75" customHeight="1">
      <c r="D531" s="41"/>
    </row>
    <row r="532" ht="15.75" customHeight="1">
      <c r="D532" s="41"/>
    </row>
    <row r="533" ht="15.75" customHeight="1">
      <c r="D533" s="41"/>
    </row>
    <row r="534" ht="15.75" customHeight="1">
      <c r="D534" s="41"/>
    </row>
    <row r="535" ht="15.75" customHeight="1">
      <c r="D535" s="41"/>
    </row>
    <row r="536" ht="15.75" customHeight="1">
      <c r="D536" s="41"/>
    </row>
    <row r="537" ht="15.75" customHeight="1">
      <c r="D537" s="41"/>
    </row>
    <row r="538" ht="15.75" customHeight="1">
      <c r="D538" s="41"/>
    </row>
    <row r="539" ht="15.75" customHeight="1">
      <c r="D539" s="41"/>
    </row>
    <row r="540" ht="15.75" customHeight="1">
      <c r="D540" s="41"/>
    </row>
    <row r="541" ht="15.75" customHeight="1">
      <c r="D541" s="41"/>
    </row>
    <row r="542" ht="15.75" customHeight="1">
      <c r="D542" s="41"/>
    </row>
    <row r="543" ht="15.75" customHeight="1">
      <c r="D543" s="41"/>
    </row>
    <row r="544" ht="15.75" customHeight="1">
      <c r="D544" s="41"/>
    </row>
    <row r="545" ht="15.75" customHeight="1">
      <c r="D545" s="41"/>
    </row>
    <row r="546" ht="15.75" customHeight="1">
      <c r="D546" s="41"/>
    </row>
    <row r="547" ht="15.75" customHeight="1">
      <c r="D547" s="41"/>
    </row>
    <row r="548" ht="15.75" customHeight="1">
      <c r="D548" s="41"/>
    </row>
    <row r="549" ht="15.75" customHeight="1">
      <c r="D549" s="41"/>
    </row>
    <row r="550" ht="15.75" customHeight="1">
      <c r="D550" s="41"/>
    </row>
    <row r="551" ht="15.75" customHeight="1">
      <c r="D551" s="41"/>
    </row>
    <row r="552" ht="15.75" customHeight="1">
      <c r="D552" s="41"/>
    </row>
    <row r="553" ht="15.75" customHeight="1">
      <c r="D553" s="41"/>
    </row>
    <row r="554" ht="15.75" customHeight="1">
      <c r="D554" s="41"/>
    </row>
    <row r="555" ht="15.75" customHeight="1">
      <c r="D555" s="41"/>
    </row>
    <row r="556" ht="15.75" customHeight="1">
      <c r="D556" s="41"/>
    </row>
    <row r="557" ht="15.75" customHeight="1">
      <c r="D557" s="41"/>
    </row>
    <row r="558" ht="15.75" customHeight="1">
      <c r="D558" s="41"/>
    </row>
    <row r="559" ht="15.75" customHeight="1">
      <c r="D559" s="41"/>
    </row>
    <row r="560" ht="15.75" customHeight="1">
      <c r="D560" s="41"/>
    </row>
    <row r="561" ht="15.75" customHeight="1">
      <c r="D561" s="41"/>
    </row>
    <row r="562" ht="15.75" customHeight="1">
      <c r="D562" s="41"/>
    </row>
    <row r="563" ht="15.75" customHeight="1">
      <c r="D563" s="41"/>
    </row>
    <row r="564" ht="15.75" customHeight="1">
      <c r="D564" s="41"/>
    </row>
    <row r="565" ht="15.75" customHeight="1">
      <c r="D565" s="41"/>
    </row>
    <row r="566" ht="15.75" customHeight="1">
      <c r="D566" s="41"/>
    </row>
    <row r="567" ht="15.75" customHeight="1">
      <c r="D567" s="41"/>
    </row>
    <row r="568" ht="15.75" customHeight="1">
      <c r="D568" s="41"/>
    </row>
    <row r="569" ht="15.75" customHeight="1">
      <c r="D569" s="41"/>
    </row>
    <row r="570" ht="15.75" customHeight="1">
      <c r="D570" s="41"/>
    </row>
    <row r="571" ht="15.75" customHeight="1">
      <c r="D571" s="41"/>
    </row>
    <row r="572" ht="15.75" customHeight="1">
      <c r="D572" s="41"/>
    </row>
    <row r="573" ht="15.75" customHeight="1">
      <c r="D573" s="41"/>
    </row>
    <row r="574" ht="15.75" customHeight="1">
      <c r="D574" s="41"/>
    </row>
    <row r="575" ht="15.75" customHeight="1">
      <c r="D575" s="41"/>
    </row>
    <row r="576" ht="15.75" customHeight="1">
      <c r="D576" s="41"/>
    </row>
    <row r="577" ht="15.75" customHeight="1">
      <c r="D577" s="41"/>
    </row>
    <row r="578" ht="15.75" customHeight="1">
      <c r="D578" s="41"/>
    </row>
    <row r="579" ht="15.75" customHeight="1">
      <c r="D579" s="41"/>
    </row>
    <row r="580" ht="15.75" customHeight="1">
      <c r="D580" s="41"/>
    </row>
    <row r="581" ht="15.75" customHeight="1">
      <c r="D581" s="41"/>
    </row>
    <row r="582" ht="15.75" customHeight="1">
      <c r="D582" s="41"/>
    </row>
    <row r="583" ht="15.75" customHeight="1">
      <c r="D583" s="41"/>
    </row>
    <row r="584" ht="15.75" customHeight="1">
      <c r="D584" s="41"/>
    </row>
    <row r="585" ht="15.75" customHeight="1">
      <c r="D585" s="41"/>
    </row>
    <row r="586" ht="15.75" customHeight="1">
      <c r="D586" s="41"/>
    </row>
    <row r="587" ht="15.75" customHeight="1">
      <c r="D587" s="41"/>
    </row>
    <row r="588" ht="15.75" customHeight="1">
      <c r="D588" s="41"/>
    </row>
    <row r="589" ht="15.75" customHeight="1">
      <c r="D589" s="41"/>
    </row>
    <row r="590" ht="15.75" customHeight="1">
      <c r="D590" s="41"/>
    </row>
    <row r="591" ht="15.75" customHeight="1">
      <c r="D591" s="41"/>
    </row>
    <row r="592" ht="15.75" customHeight="1">
      <c r="D592" s="41"/>
    </row>
    <row r="593" ht="15.75" customHeight="1">
      <c r="D593" s="41"/>
    </row>
    <row r="594" ht="15.75" customHeight="1">
      <c r="D594" s="41"/>
    </row>
    <row r="595" ht="15.75" customHeight="1">
      <c r="D595" s="41"/>
    </row>
    <row r="596" ht="15.75" customHeight="1">
      <c r="D596" s="41"/>
    </row>
    <row r="597" ht="15.75" customHeight="1">
      <c r="D597" s="41"/>
    </row>
    <row r="598" ht="15.75" customHeight="1">
      <c r="D598" s="41"/>
    </row>
    <row r="599" ht="15.75" customHeight="1">
      <c r="D599" s="41"/>
    </row>
    <row r="600" ht="15.75" customHeight="1">
      <c r="D600" s="41"/>
    </row>
    <row r="601" ht="15.75" customHeight="1">
      <c r="D601" s="41"/>
    </row>
    <row r="602" ht="15.75" customHeight="1">
      <c r="D602" s="41"/>
    </row>
    <row r="603" ht="15.75" customHeight="1">
      <c r="D603" s="41"/>
    </row>
    <row r="604" ht="15.75" customHeight="1">
      <c r="D604" s="41"/>
    </row>
    <row r="605" ht="15.75" customHeight="1">
      <c r="D605" s="41"/>
    </row>
    <row r="606" ht="15.75" customHeight="1">
      <c r="D606" s="41"/>
    </row>
    <row r="607" ht="15.75" customHeight="1">
      <c r="D607" s="41"/>
    </row>
    <row r="608" ht="15.75" customHeight="1">
      <c r="D608" s="41"/>
    </row>
    <row r="609" ht="15.75" customHeight="1">
      <c r="D609" s="41"/>
    </row>
    <row r="610" ht="15.75" customHeight="1">
      <c r="D610" s="41"/>
    </row>
    <row r="611" ht="15.75" customHeight="1">
      <c r="D611" s="41"/>
    </row>
    <row r="612" ht="15.75" customHeight="1">
      <c r="D612" s="41"/>
    </row>
    <row r="613" ht="15.75" customHeight="1">
      <c r="D613" s="41"/>
    </row>
    <row r="614" ht="15.75" customHeight="1">
      <c r="D614" s="41"/>
    </row>
    <row r="615" ht="15.75" customHeight="1">
      <c r="D615" s="41"/>
    </row>
    <row r="616" ht="15.75" customHeight="1">
      <c r="D616" s="41"/>
    </row>
    <row r="617" ht="15.75" customHeight="1">
      <c r="D617" s="41"/>
    </row>
    <row r="618" ht="15.75" customHeight="1">
      <c r="D618" s="41"/>
    </row>
    <row r="619" ht="15.75" customHeight="1">
      <c r="D619" s="41"/>
    </row>
    <row r="620" ht="15.75" customHeight="1">
      <c r="D620" s="41"/>
    </row>
    <row r="621" ht="15.75" customHeight="1">
      <c r="D621" s="41"/>
    </row>
    <row r="622" ht="15.75" customHeight="1">
      <c r="D622" s="41"/>
    </row>
    <row r="623" ht="15.75" customHeight="1">
      <c r="D623" s="41"/>
    </row>
    <row r="624" ht="15.75" customHeight="1">
      <c r="D624" s="41"/>
    </row>
    <row r="625" ht="15.75" customHeight="1">
      <c r="D625" s="41"/>
    </row>
    <row r="626" ht="15.75" customHeight="1">
      <c r="D626" s="41"/>
    </row>
    <row r="627" ht="15.75" customHeight="1">
      <c r="D627" s="41"/>
    </row>
    <row r="628" ht="15.75" customHeight="1">
      <c r="D628" s="41"/>
    </row>
    <row r="629" ht="15.75" customHeight="1">
      <c r="D629" s="41"/>
    </row>
    <row r="630" ht="15.75" customHeight="1">
      <c r="D630" s="41"/>
    </row>
    <row r="631" ht="15.75" customHeight="1">
      <c r="D631" s="41"/>
    </row>
    <row r="632" ht="15.75" customHeight="1">
      <c r="D632" s="41"/>
    </row>
    <row r="633" ht="15.75" customHeight="1">
      <c r="D633" s="41"/>
    </row>
    <row r="634" ht="15.75" customHeight="1">
      <c r="D634" s="41"/>
    </row>
    <row r="635" ht="15.75" customHeight="1">
      <c r="D635" s="41"/>
    </row>
    <row r="636" ht="15.75" customHeight="1">
      <c r="D636" s="41"/>
    </row>
    <row r="637" ht="15.75" customHeight="1">
      <c r="D637" s="41"/>
    </row>
    <row r="638" ht="15.75" customHeight="1">
      <c r="D638" s="41"/>
    </row>
    <row r="639" ht="15.75" customHeight="1">
      <c r="D639" s="41"/>
    </row>
    <row r="640" ht="15.75" customHeight="1">
      <c r="D640" s="41"/>
    </row>
    <row r="641" ht="15.75" customHeight="1">
      <c r="D641" s="41"/>
    </row>
    <row r="642" ht="15.75" customHeight="1">
      <c r="D642" s="41"/>
    </row>
    <row r="643" ht="15.75" customHeight="1">
      <c r="D643" s="41"/>
    </row>
    <row r="644" ht="15.75" customHeight="1">
      <c r="D644" s="41"/>
    </row>
    <row r="645" ht="15.75" customHeight="1">
      <c r="D645" s="41"/>
    </row>
    <row r="646" ht="15.75" customHeight="1">
      <c r="D646" s="41"/>
    </row>
    <row r="647" ht="15.75" customHeight="1">
      <c r="D647" s="41"/>
    </row>
    <row r="648" ht="15.75" customHeight="1">
      <c r="D648" s="41"/>
    </row>
    <row r="649" ht="15.75" customHeight="1">
      <c r="D649" s="41"/>
    </row>
    <row r="650" ht="15.75" customHeight="1">
      <c r="D650" s="41"/>
    </row>
    <row r="651" ht="15.75" customHeight="1">
      <c r="D651" s="41"/>
    </row>
    <row r="652" ht="15.75" customHeight="1">
      <c r="D652" s="41"/>
    </row>
    <row r="653" ht="15.75" customHeight="1">
      <c r="D653" s="41"/>
    </row>
    <row r="654" ht="15.75" customHeight="1">
      <c r="D654" s="41"/>
    </row>
    <row r="655" ht="15.75" customHeight="1">
      <c r="D655" s="41"/>
    </row>
    <row r="656" ht="15.75" customHeight="1">
      <c r="D656" s="41"/>
    </row>
    <row r="657" ht="15.75" customHeight="1">
      <c r="D657" s="41"/>
    </row>
    <row r="658" ht="15.75" customHeight="1">
      <c r="D658" s="41"/>
    </row>
    <row r="659" ht="15.75" customHeight="1">
      <c r="D659" s="41"/>
    </row>
    <row r="660" ht="15.75" customHeight="1">
      <c r="D660" s="41"/>
    </row>
    <row r="661" ht="15.75" customHeight="1">
      <c r="D661" s="41"/>
    </row>
    <row r="662" ht="15.75" customHeight="1">
      <c r="D662" s="41"/>
    </row>
    <row r="663" ht="15.75" customHeight="1">
      <c r="D663" s="41"/>
    </row>
    <row r="664" ht="15.75" customHeight="1">
      <c r="D664" s="41"/>
    </row>
    <row r="665" ht="15.75" customHeight="1">
      <c r="D665" s="41"/>
    </row>
    <row r="666" ht="15.75" customHeight="1">
      <c r="D666" s="41"/>
    </row>
    <row r="667" ht="15.75" customHeight="1">
      <c r="D667" s="41"/>
    </row>
    <row r="668" ht="15.75" customHeight="1">
      <c r="D668" s="41"/>
    </row>
    <row r="669" ht="15.75" customHeight="1">
      <c r="D669" s="41"/>
    </row>
    <row r="670" ht="15.75" customHeight="1">
      <c r="D670" s="41"/>
    </row>
    <row r="671" ht="15.75" customHeight="1">
      <c r="D671" s="41"/>
    </row>
    <row r="672" ht="15.75" customHeight="1">
      <c r="D672" s="41"/>
    </row>
    <row r="673" ht="15.75" customHeight="1">
      <c r="D673" s="41"/>
    </row>
    <row r="674" ht="15.75" customHeight="1">
      <c r="D674" s="41"/>
    </row>
    <row r="675" ht="15.75" customHeight="1">
      <c r="D675" s="41"/>
    </row>
    <row r="676" ht="15.75" customHeight="1">
      <c r="D676" s="41"/>
    </row>
    <row r="677" ht="15.75" customHeight="1">
      <c r="D677" s="41"/>
    </row>
    <row r="678" ht="15.75" customHeight="1">
      <c r="D678" s="41"/>
    </row>
    <row r="679" ht="15.75" customHeight="1">
      <c r="D679" s="41"/>
    </row>
    <row r="680" ht="15.75" customHeight="1">
      <c r="D680" s="41"/>
    </row>
    <row r="681" ht="15.75" customHeight="1">
      <c r="D681" s="41"/>
    </row>
    <row r="682" ht="15.75" customHeight="1">
      <c r="D682" s="41"/>
    </row>
    <row r="683" ht="15.75" customHeight="1">
      <c r="D683" s="41"/>
    </row>
    <row r="684" ht="15.75" customHeight="1">
      <c r="D684" s="41"/>
    </row>
    <row r="685" ht="15.75" customHeight="1">
      <c r="D685" s="41"/>
    </row>
    <row r="686" ht="15.75" customHeight="1">
      <c r="D686" s="41"/>
    </row>
    <row r="687" ht="15.75" customHeight="1">
      <c r="D687" s="41"/>
    </row>
    <row r="688" ht="15.75" customHeight="1">
      <c r="D688" s="41"/>
    </row>
    <row r="689" ht="15.75" customHeight="1">
      <c r="D689" s="41"/>
    </row>
    <row r="690" ht="15.75" customHeight="1">
      <c r="D690" s="41"/>
    </row>
    <row r="691" ht="15.75" customHeight="1">
      <c r="D691" s="41"/>
    </row>
    <row r="692" ht="15.75" customHeight="1">
      <c r="D692" s="41"/>
    </row>
    <row r="693" ht="15.75" customHeight="1">
      <c r="D693" s="41"/>
    </row>
    <row r="694" ht="15.75" customHeight="1">
      <c r="D694" s="41"/>
    </row>
    <row r="695" ht="15.75" customHeight="1">
      <c r="D695" s="41"/>
    </row>
    <row r="696" ht="15.75" customHeight="1">
      <c r="D696" s="41"/>
    </row>
    <row r="697" ht="15.75" customHeight="1">
      <c r="D697" s="41"/>
    </row>
    <row r="698" ht="15.75" customHeight="1">
      <c r="D698" s="41"/>
    </row>
    <row r="699" ht="15.75" customHeight="1">
      <c r="D699" s="41"/>
    </row>
    <row r="700" ht="15.75" customHeight="1">
      <c r="D700" s="41"/>
    </row>
    <row r="701" ht="15.75" customHeight="1">
      <c r="D701" s="41"/>
    </row>
    <row r="702" ht="15.75" customHeight="1">
      <c r="D702" s="41"/>
    </row>
    <row r="703" ht="15.75" customHeight="1">
      <c r="D703" s="41"/>
    </row>
    <row r="704" ht="15.75" customHeight="1">
      <c r="D704" s="41"/>
    </row>
    <row r="705" ht="15.75" customHeight="1">
      <c r="D705" s="41"/>
    </row>
    <row r="706" ht="15.75" customHeight="1">
      <c r="D706" s="41"/>
    </row>
    <row r="707" ht="15.75" customHeight="1">
      <c r="D707" s="41"/>
    </row>
    <row r="708" ht="15.75" customHeight="1">
      <c r="D708" s="41"/>
    </row>
    <row r="709" ht="15.75" customHeight="1">
      <c r="D709" s="41"/>
    </row>
    <row r="710" ht="15.75" customHeight="1">
      <c r="D710" s="41"/>
    </row>
    <row r="711" ht="15.75" customHeight="1">
      <c r="D711" s="41"/>
    </row>
    <row r="712" ht="15.75" customHeight="1">
      <c r="D712" s="41"/>
    </row>
    <row r="713" ht="15.75" customHeight="1">
      <c r="D713" s="41"/>
    </row>
    <row r="714" ht="15.75" customHeight="1">
      <c r="D714" s="41"/>
    </row>
    <row r="715" ht="15.75" customHeight="1">
      <c r="D715" s="41"/>
    </row>
    <row r="716" ht="15.75" customHeight="1">
      <c r="D716" s="41"/>
    </row>
    <row r="717" ht="15.75" customHeight="1">
      <c r="D717" s="41"/>
    </row>
    <row r="718" ht="15.75" customHeight="1">
      <c r="D718" s="41"/>
    </row>
    <row r="719" ht="15.75" customHeight="1">
      <c r="D719" s="41"/>
    </row>
    <row r="720" ht="15.75" customHeight="1">
      <c r="D720" s="41"/>
    </row>
    <row r="721" ht="15.75" customHeight="1">
      <c r="D721" s="41"/>
    </row>
    <row r="722" ht="15.75" customHeight="1">
      <c r="D722" s="41"/>
    </row>
    <row r="723" ht="15.75" customHeight="1">
      <c r="D723" s="41"/>
    </row>
    <row r="724" ht="15.75" customHeight="1">
      <c r="D724" s="41"/>
    </row>
    <row r="725" ht="15.75" customHeight="1">
      <c r="D725" s="41"/>
    </row>
    <row r="726" ht="15.75" customHeight="1">
      <c r="D726" s="41"/>
    </row>
    <row r="727" ht="15.75" customHeight="1">
      <c r="D727" s="41"/>
    </row>
    <row r="728" ht="15.75" customHeight="1">
      <c r="D728" s="41"/>
    </row>
    <row r="729" ht="15.75" customHeight="1">
      <c r="D729" s="41"/>
    </row>
    <row r="730" ht="15.75" customHeight="1">
      <c r="D730" s="41"/>
    </row>
    <row r="731" ht="15.75" customHeight="1">
      <c r="D731" s="41"/>
    </row>
    <row r="732" ht="15.75" customHeight="1">
      <c r="D732" s="41"/>
    </row>
    <row r="733" ht="15.75" customHeight="1">
      <c r="D733" s="41"/>
    </row>
    <row r="734" ht="15.75" customHeight="1">
      <c r="D734" s="41"/>
    </row>
    <row r="735" ht="15.75" customHeight="1">
      <c r="D735" s="41"/>
    </row>
    <row r="736" ht="15.75" customHeight="1">
      <c r="D736" s="41"/>
    </row>
    <row r="737" ht="15.75" customHeight="1">
      <c r="D737" s="41"/>
    </row>
    <row r="738" ht="15.75" customHeight="1">
      <c r="D738" s="41"/>
    </row>
    <row r="739" ht="15.75" customHeight="1">
      <c r="D739" s="41"/>
    </row>
    <row r="740" ht="15.75" customHeight="1">
      <c r="D740" s="41"/>
    </row>
    <row r="741" ht="15.75" customHeight="1">
      <c r="D741" s="41"/>
    </row>
    <row r="742" ht="15.75" customHeight="1">
      <c r="D742" s="41"/>
    </row>
    <row r="743" ht="15.75" customHeight="1">
      <c r="D743" s="41"/>
    </row>
    <row r="744" ht="15.75" customHeight="1">
      <c r="D744" s="41"/>
    </row>
    <row r="745" ht="15.75" customHeight="1">
      <c r="D745" s="41"/>
    </row>
    <row r="746" ht="15.75" customHeight="1">
      <c r="D746" s="41"/>
    </row>
    <row r="747" ht="15.75" customHeight="1">
      <c r="D747" s="41"/>
    </row>
    <row r="748" ht="15.75" customHeight="1">
      <c r="D748" s="41"/>
    </row>
    <row r="749" ht="15.75" customHeight="1">
      <c r="D749" s="41"/>
    </row>
    <row r="750" ht="15.75" customHeight="1">
      <c r="D750" s="41"/>
    </row>
    <row r="751" ht="15.75" customHeight="1">
      <c r="D751" s="41"/>
    </row>
    <row r="752" ht="15.75" customHeight="1">
      <c r="D752" s="41"/>
    </row>
    <row r="753" ht="15.75" customHeight="1">
      <c r="D753" s="41"/>
    </row>
    <row r="754" ht="15.75" customHeight="1">
      <c r="D754" s="41"/>
    </row>
    <row r="755" ht="15.75" customHeight="1">
      <c r="D755" s="41"/>
    </row>
    <row r="756" ht="15.75" customHeight="1">
      <c r="D756" s="41"/>
    </row>
    <row r="757" ht="15.75" customHeight="1">
      <c r="D757" s="41"/>
    </row>
    <row r="758" ht="15.75" customHeight="1">
      <c r="D758" s="41"/>
    </row>
    <row r="759" ht="15.75" customHeight="1">
      <c r="D759" s="41"/>
    </row>
    <row r="760" ht="15.75" customHeight="1">
      <c r="D760" s="41"/>
    </row>
    <row r="761" ht="15.75" customHeight="1">
      <c r="D761" s="41"/>
    </row>
    <row r="762" ht="15.75" customHeight="1">
      <c r="D762" s="41"/>
    </row>
    <row r="763" ht="15.75" customHeight="1">
      <c r="D763" s="41"/>
    </row>
    <row r="764" ht="15.75" customHeight="1">
      <c r="D764" s="41"/>
    </row>
    <row r="765" ht="15.75" customHeight="1">
      <c r="D765" s="41"/>
    </row>
    <row r="766" ht="15.75" customHeight="1">
      <c r="D766" s="41"/>
    </row>
    <row r="767" ht="15.75" customHeight="1">
      <c r="D767" s="41"/>
    </row>
    <row r="768" ht="15.75" customHeight="1">
      <c r="D768" s="41"/>
    </row>
    <row r="769" ht="15.75" customHeight="1">
      <c r="D769" s="41"/>
    </row>
    <row r="770" ht="15.75" customHeight="1">
      <c r="D770" s="41"/>
    </row>
    <row r="771" ht="15.75" customHeight="1">
      <c r="D771" s="41"/>
    </row>
    <row r="772" ht="15.75" customHeight="1">
      <c r="D772" s="41"/>
    </row>
    <row r="773" ht="15.75" customHeight="1">
      <c r="D773" s="41"/>
    </row>
    <row r="774" ht="15.75" customHeight="1">
      <c r="D774" s="41"/>
    </row>
    <row r="775" ht="15.75" customHeight="1">
      <c r="D775" s="41"/>
    </row>
    <row r="776" ht="15.75" customHeight="1">
      <c r="D776" s="41"/>
    </row>
    <row r="777" ht="15.75" customHeight="1">
      <c r="D777" s="41"/>
    </row>
    <row r="778" ht="15.75" customHeight="1">
      <c r="D778" s="41"/>
    </row>
    <row r="779" ht="15.75" customHeight="1">
      <c r="D779" s="41"/>
    </row>
    <row r="780" ht="15.75" customHeight="1">
      <c r="D780" s="41"/>
    </row>
    <row r="781" ht="15.75" customHeight="1">
      <c r="D781" s="41"/>
    </row>
    <row r="782" ht="15.75" customHeight="1">
      <c r="D782" s="41"/>
    </row>
    <row r="783" ht="15.75" customHeight="1">
      <c r="D783" s="41"/>
    </row>
    <row r="784" ht="15.75" customHeight="1">
      <c r="D784" s="41"/>
    </row>
    <row r="785" ht="15.75" customHeight="1">
      <c r="D785" s="41"/>
    </row>
    <row r="786" ht="15.75" customHeight="1">
      <c r="D786" s="41"/>
    </row>
    <row r="787" ht="15.75" customHeight="1">
      <c r="D787" s="41"/>
    </row>
    <row r="788" ht="15.75" customHeight="1">
      <c r="D788" s="41"/>
    </row>
    <row r="789" ht="15.75" customHeight="1">
      <c r="D789" s="41"/>
    </row>
    <row r="790" ht="15.75" customHeight="1">
      <c r="D790" s="41"/>
    </row>
    <row r="791" ht="15.75" customHeight="1">
      <c r="D791" s="41"/>
    </row>
    <row r="792" ht="15.75" customHeight="1">
      <c r="D792" s="41"/>
    </row>
    <row r="793" ht="15.75" customHeight="1">
      <c r="D793" s="41"/>
    </row>
    <row r="794" ht="15.75" customHeight="1">
      <c r="D794" s="41"/>
    </row>
    <row r="795" ht="15.75" customHeight="1">
      <c r="D795" s="41"/>
    </row>
    <row r="796" ht="15.75" customHeight="1">
      <c r="D796" s="41"/>
    </row>
    <row r="797" ht="15.75" customHeight="1">
      <c r="D797" s="41"/>
    </row>
    <row r="798" ht="15.75" customHeight="1">
      <c r="D798" s="41"/>
    </row>
    <row r="799" ht="15.75" customHeight="1">
      <c r="D799" s="41"/>
    </row>
    <row r="800" ht="15.75" customHeight="1">
      <c r="D800" s="41"/>
    </row>
    <row r="801" ht="15.75" customHeight="1">
      <c r="D801" s="41"/>
    </row>
    <row r="802" ht="15.75" customHeight="1">
      <c r="D802" s="41"/>
    </row>
    <row r="803" ht="15.75" customHeight="1">
      <c r="D803" s="41"/>
    </row>
    <row r="804" ht="15.75" customHeight="1">
      <c r="D804" s="41"/>
    </row>
    <row r="805" ht="15.75" customHeight="1">
      <c r="D805" s="41"/>
    </row>
    <row r="806" ht="15.75" customHeight="1">
      <c r="D806" s="41"/>
    </row>
    <row r="807" ht="15.75" customHeight="1">
      <c r="D807" s="41"/>
    </row>
    <row r="808" ht="15.75" customHeight="1">
      <c r="D808" s="41"/>
    </row>
    <row r="809" ht="15.75" customHeight="1">
      <c r="D809" s="41"/>
    </row>
    <row r="810" ht="15.75" customHeight="1">
      <c r="D810" s="41"/>
    </row>
    <row r="811" ht="15.75" customHeight="1">
      <c r="D811" s="41"/>
    </row>
    <row r="812" ht="15.75" customHeight="1">
      <c r="D812" s="41"/>
    </row>
    <row r="813" ht="15.75" customHeight="1">
      <c r="D813" s="41"/>
    </row>
    <row r="814" ht="15.75" customHeight="1">
      <c r="D814" s="41"/>
    </row>
    <row r="815" ht="15.75" customHeight="1">
      <c r="D815" s="41"/>
    </row>
    <row r="816" ht="15.75" customHeight="1">
      <c r="D816" s="41"/>
    </row>
    <row r="817" ht="15.75" customHeight="1">
      <c r="D817" s="41"/>
    </row>
    <row r="818" ht="15.75" customHeight="1">
      <c r="D818" s="41"/>
    </row>
    <row r="819" ht="15.75" customHeight="1">
      <c r="D819" s="41"/>
    </row>
    <row r="820" ht="15.75" customHeight="1">
      <c r="D820" s="41"/>
    </row>
    <row r="821" ht="15.75" customHeight="1">
      <c r="D821" s="41"/>
    </row>
    <row r="822" ht="15.75" customHeight="1">
      <c r="D822" s="41"/>
    </row>
    <row r="823" ht="15.75" customHeight="1">
      <c r="D823" s="41"/>
    </row>
    <row r="824" ht="15.75" customHeight="1">
      <c r="D824" s="41"/>
    </row>
    <row r="825" ht="15.75" customHeight="1">
      <c r="D825" s="41"/>
    </row>
    <row r="826" ht="15.75" customHeight="1">
      <c r="D826" s="41"/>
    </row>
    <row r="827" ht="15.75" customHeight="1">
      <c r="D827" s="41"/>
    </row>
    <row r="828" ht="15.75" customHeight="1">
      <c r="D828" s="41"/>
    </row>
    <row r="829" ht="15.75" customHeight="1">
      <c r="D829" s="41"/>
    </row>
    <row r="830" ht="15.75" customHeight="1">
      <c r="D830" s="41"/>
    </row>
    <row r="831" ht="15.75" customHeight="1">
      <c r="D831" s="41"/>
    </row>
    <row r="832" ht="15.75" customHeight="1">
      <c r="D832" s="41"/>
    </row>
    <row r="833" ht="15.75" customHeight="1">
      <c r="D833" s="41"/>
    </row>
    <row r="834" ht="15.75" customHeight="1">
      <c r="D834" s="41"/>
    </row>
    <row r="835" ht="15.75" customHeight="1">
      <c r="D835" s="41"/>
    </row>
    <row r="836" ht="15.75" customHeight="1">
      <c r="D836" s="41"/>
    </row>
    <row r="837" ht="15.75" customHeight="1">
      <c r="D837" s="41"/>
    </row>
    <row r="838" ht="15.75" customHeight="1">
      <c r="D838" s="41"/>
    </row>
    <row r="839" ht="15.75" customHeight="1">
      <c r="D839" s="41"/>
    </row>
    <row r="840" ht="15.75" customHeight="1">
      <c r="D840" s="41"/>
    </row>
    <row r="841" ht="15.75" customHeight="1">
      <c r="D841" s="41"/>
    </row>
    <row r="842" ht="15.75" customHeight="1">
      <c r="D842" s="41"/>
    </row>
    <row r="843" ht="15.75" customHeight="1">
      <c r="D843" s="41"/>
    </row>
    <row r="844" ht="15.75" customHeight="1">
      <c r="D844" s="41"/>
    </row>
    <row r="845" ht="15.75" customHeight="1">
      <c r="D845" s="41"/>
    </row>
    <row r="846" ht="15.75" customHeight="1">
      <c r="D846" s="41"/>
    </row>
    <row r="847" ht="15.75" customHeight="1">
      <c r="D847" s="41"/>
    </row>
    <row r="848" ht="15.75" customHeight="1">
      <c r="D848" s="41"/>
    </row>
    <row r="849" ht="15.75" customHeight="1">
      <c r="D849" s="41"/>
    </row>
    <row r="850" ht="15.75" customHeight="1">
      <c r="D850" s="41"/>
    </row>
    <row r="851" ht="15.75" customHeight="1">
      <c r="D851" s="41"/>
    </row>
    <row r="852" ht="15.75" customHeight="1">
      <c r="D852" s="41"/>
    </row>
    <row r="853" ht="15.75" customHeight="1">
      <c r="D853" s="41"/>
    </row>
    <row r="854" ht="15.75" customHeight="1">
      <c r="D854" s="41"/>
    </row>
    <row r="855" ht="15.75" customHeight="1">
      <c r="D855" s="41"/>
    </row>
    <row r="856" ht="15.75" customHeight="1">
      <c r="D856" s="41"/>
    </row>
    <row r="857" ht="15.75" customHeight="1">
      <c r="D857" s="41"/>
    </row>
    <row r="858" ht="15.75" customHeight="1">
      <c r="D858" s="41"/>
    </row>
    <row r="859" ht="15.75" customHeight="1">
      <c r="D859" s="41"/>
    </row>
    <row r="860" ht="15.75" customHeight="1">
      <c r="D860" s="41"/>
    </row>
    <row r="861" ht="15.75" customHeight="1">
      <c r="D861" s="41"/>
    </row>
    <row r="862" ht="15.75" customHeight="1">
      <c r="D862" s="41"/>
    </row>
    <row r="863" ht="15.75" customHeight="1">
      <c r="D863" s="41"/>
    </row>
    <row r="864" ht="15.75" customHeight="1">
      <c r="D864" s="41"/>
    </row>
    <row r="865" ht="15.75" customHeight="1">
      <c r="D865" s="41"/>
    </row>
    <row r="866" ht="15.75" customHeight="1">
      <c r="D866" s="41"/>
    </row>
    <row r="867" ht="15.75" customHeight="1">
      <c r="D867" s="41"/>
    </row>
    <row r="868" ht="15.75" customHeight="1">
      <c r="D868" s="41"/>
    </row>
    <row r="869" ht="15.75" customHeight="1">
      <c r="D869" s="41"/>
    </row>
    <row r="870" ht="15.75" customHeight="1">
      <c r="D870" s="41"/>
    </row>
    <row r="871" ht="15.75" customHeight="1">
      <c r="D871" s="41"/>
    </row>
    <row r="872" ht="15.75" customHeight="1">
      <c r="D872" s="41"/>
    </row>
    <row r="873" ht="15.75" customHeight="1">
      <c r="D873" s="41"/>
    </row>
    <row r="874" ht="15.75" customHeight="1">
      <c r="D874" s="41"/>
    </row>
    <row r="875" ht="15.75" customHeight="1">
      <c r="D875" s="41"/>
    </row>
    <row r="876" ht="15.75" customHeight="1">
      <c r="D876" s="41"/>
    </row>
    <row r="877" ht="15.75" customHeight="1">
      <c r="D877" s="41"/>
    </row>
    <row r="878" ht="15.75" customHeight="1">
      <c r="D878" s="41"/>
    </row>
    <row r="879" ht="15.75" customHeight="1">
      <c r="D879" s="41"/>
    </row>
    <row r="880" ht="15.75" customHeight="1">
      <c r="D880" s="41"/>
    </row>
    <row r="881" ht="15.75" customHeight="1">
      <c r="D881" s="41"/>
    </row>
    <row r="882" ht="15.75" customHeight="1">
      <c r="D882" s="41"/>
    </row>
    <row r="883" ht="15.75" customHeight="1">
      <c r="D883" s="41"/>
    </row>
    <row r="884" ht="15.75" customHeight="1">
      <c r="D884" s="41"/>
    </row>
    <row r="885" ht="15.75" customHeight="1">
      <c r="D885" s="41"/>
    </row>
    <row r="886" ht="15.75" customHeight="1">
      <c r="D886" s="41"/>
    </row>
    <row r="887" ht="15.75" customHeight="1">
      <c r="D887" s="41"/>
    </row>
    <row r="888" ht="15.75" customHeight="1">
      <c r="D888" s="41"/>
    </row>
    <row r="889" ht="15.75" customHeight="1">
      <c r="D889" s="41"/>
    </row>
    <row r="890" ht="15.75" customHeight="1">
      <c r="D890" s="41"/>
    </row>
    <row r="891" ht="15.75" customHeight="1">
      <c r="D891" s="41"/>
    </row>
    <row r="892" ht="15.75" customHeight="1">
      <c r="D892" s="41"/>
    </row>
    <row r="893" ht="15.75" customHeight="1">
      <c r="D893" s="41"/>
    </row>
    <row r="894" ht="15.75" customHeight="1">
      <c r="D894" s="41"/>
    </row>
    <row r="895" ht="15.75" customHeight="1">
      <c r="D895" s="41"/>
    </row>
    <row r="896" ht="15.75" customHeight="1">
      <c r="D896" s="41"/>
    </row>
    <row r="897" ht="15.75" customHeight="1">
      <c r="D897" s="41"/>
    </row>
    <row r="898" ht="15.75" customHeight="1">
      <c r="D898" s="41"/>
    </row>
    <row r="899" ht="15.75" customHeight="1">
      <c r="D899" s="41"/>
    </row>
    <row r="900" ht="15.75" customHeight="1">
      <c r="D900" s="41"/>
    </row>
    <row r="901" ht="15.75" customHeight="1">
      <c r="D901" s="41"/>
    </row>
    <row r="902" ht="15.75" customHeight="1">
      <c r="D902" s="41"/>
    </row>
    <row r="903" ht="15.75" customHeight="1">
      <c r="D903" s="41"/>
    </row>
    <row r="904" ht="15.75" customHeight="1">
      <c r="D904" s="41"/>
    </row>
    <row r="905" ht="15.75" customHeight="1">
      <c r="D905" s="41"/>
    </row>
    <row r="906" ht="15.75" customHeight="1">
      <c r="D906" s="41"/>
    </row>
    <row r="907" ht="15.75" customHeight="1">
      <c r="D907" s="41"/>
    </row>
    <row r="908" ht="15.75" customHeight="1">
      <c r="D908" s="41"/>
    </row>
    <row r="909" ht="15.75" customHeight="1">
      <c r="D909" s="41"/>
    </row>
    <row r="910" ht="15.75" customHeight="1">
      <c r="D910" s="41"/>
    </row>
    <row r="911" ht="15.75" customHeight="1">
      <c r="D911" s="41"/>
    </row>
    <row r="912" ht="15.75" customHeight="1">
      <c r="D912" s="41"/>
    </row>
    <row r="913" ht="15.75" customHeight="1">
      <c r="D913" s="41"/>
    </row>
    <row r="914" ht="15.75" customHeight="1">
      <c r="D914" s="41"/>
    </row>
    <row r="915" ht="15.75" customHeight="1">
      <c r="D915" s="41"/>
    </row>
    <row r="916" ht="15.75" customHeight="1">
      <c r="D916" s="41"/>
    </row>
    <row r="917" ht="15.75" customHeight="1">
      <c r="D917" s="41"/>
    </row>
    <row r="918" ht="15.75" customHeight="1">
      <c r="D918" s="41"/>
    </row>
    <row r="919" ht="15.75" customHeight="1">
      <c r="D919" s="41"/>
    </row>
    <row r="920" ht="15.75" customHeight="1">
      <c r="D920" s="41"/>
    </row>
    <row r="921" ht="15.75" customHeight="1">
      <c r="D921" s="41"/>
    </row>
    <row r="922" ht="15.75" customHeight="1">
      <c r="D922" s="41"/>
    </row>
    <row r="923" ht="15.75" customHeight="1">
      <c r="D923" s="41"/>
    </row>
    <row r="924" ht="15.75" customHeight="1">
      <c r="D924" s="41"/>
    </row>
    <row r="925" ht="15.75" customHeight="1">
      <c r="D925" s="41"/>
    </row>
    <row r="926" ht="15.75" customHeight="1">
      <c r="D926" s="41"/>
    </row>
    <row r="927" ht="15.75" customHeight="1">
      <c r="D927" s="41"/>
    </row>
    <row r="928" ht="15.75" customHeight="1">
      <c r="D928" s="41"/>
    </row>
    <row r="929" ht="15.75" customHeight="1">
      <c r="D929" s="41"/>
    </row>
    <row r="930" ht="15.75" customHeight="1">
      <c r="D930" s="41"/>
    </row>
    <row r="931" ht="15.75" customHeight="1">
      <c r="D931" s="41"/>
    </row>
    <row r="932" ht="15.75" customHeight="1">
      <c r="D932" s="41"/>
    </row>
    <row r="933" ht="15.75" customHeight="1">
      <c r="D933" s="41"/>
    </row>
    <row r="934" ht="15.75" customHeight="1">
      <c r="D934" s="41"/>
    </row>
    <row r="935" ht="15.75" customHeight="1">
      <c r="D935" s="41"/>
    </row>
    <row r="936" ht="15.75" customHeight="1">
      <c r="D936" s="41"/>
    </row>
    <row r="937" ht="15.75" customHeight="1">
      <c r="D937" s="41"/>
    </row>
    <row r="938" ht="15.75" customHeight="1">
      <c r="D938" s="41"/>
    </row>
    <row r="939" ht="15.75" customHeight="1">
      <c r="D939" s="41"/>
    </row>
    <row r="940" ht="15.75" customHeight="1">
      <c r="D940" s="41"/>
    </row>
    <row r="941" ht="15.75" customHeight="1">
      <c r="D941" s="41"/>
    </row>
    <row r="942" ht="15.75" customHeight="1">
      <c r="D942" s="41"/>
    </row>
    <row r="943" ht="15.75" customHeight="1">
      <c r="D943" s="41"/>
    </row>
    <row r="944" ht="15.75" customHeight="1">
      <c r="D944" s="41"/>
    </row>
    <row r="945" ht="15.75" customHeight="1">
      <c r="D945" s="41"/>
    </row>
    <row r="946" ht="15.75" customHeight="1">
      <c r="D946" s="41"/>
    </row>
    <row r="947" ht="15.75" customHeight="1">
      <c r="D947" s="41"/>
    </row>
    <row r="948" ht="15.75" customHeight="1">
      <c r="D948" s="41"/>
    </row>
    <row r="949" ht="15.75" customHeight="1">
      <c r="D949" s="41"/>
    </row>
    <row r="950" ht="15.75" customHeight="1">
      <c r="D950" s="41"/>
    </row>
    <row r="951" ht="15.75" customHeight="1">
      <c r="D951" s="41"/>
    </row>
    <row r="952" ht="15.75" customHeight="1">
      <c r="D952" s="41"/>
    </row>
    <row r="953" ht="15.75" customHeight="1">
      <c r="D953" s="41"/>
    </row>
    <row r="954" ht="15.75" customHeight="1">
      <c r="D954" s="41"/>
    </row>
    <row r="955" ht="15.75" customHeight="1">
      <c r="D955" s="41"/>
    </row>
    <row r="956" ht="15.75" customHeight="1">
      <c r="D956" s="41"/>
    </row>
    <row r="957" ht="15.75" customHeight="1">
      <c r="D957" s="41"/>
    </row>
    <row r="958" ht="15.75" customHeight="1">
      <c r="D958" s="41"/>
    </row>
    <row r="959" ht="15.75" customHeight="1">
      <c r="D959" s="41"/>
    </row>
    <row r="960" ht="15.75" customHeight="1">
      <c r="D960" s="41"/>
    </row>
    <row r="961" ht="15.75" customHeight="1">
      <c r="D961" s="41"/>
    </row>
    <row r="962" ht="15.75" customHeight="1">
      <c r="D962" s="41"/>
    </row>
    <row r="963" ht="15.75" customHeight="1">
      <c r="D963" s="41"/>
    </row>
    <row r="964" ht="15.75" customHeight="1">
      <c r="D964" s="41"/>
    </row>
    <row r="965" ht="15.75" customHeight="1">
      <c r="D965" s="41"/>
    </row>
    <row r="966" ht="15.75" customHeight="1">
      <c r="D966" s="41"/>
    </row>
    <row r="967" ht="15.75" customHeight="1">
      <c r="D967" s="41"/>
    </row>
    <row r="968" ht="15.75" customHeight="1">
      <c r="D968" s="41"/>
    </row>
    <row r="969" ht="15.75" customHeight="1">
      <c r="D969" s="41"/>
    </row>
    <row r="970" ht="15.75" customHeight="1">
      <c r="D970" s="41"/>
    </row>
    <row r="971" ht="15.75" customHeight="1">
      <c r="D971" s="41"/>
    </row>
    <row r="972" ht="15.75" customHeight="1">
      <c r="D972" s="41"/>
    </row>
    <row r="973" ht="15.75" customHeight="1">
      <c r="D973" s="41"/>
    </row>
    <row r="974" ht="15.75" customHeight="1">
      <c r="D974" s="41"/>
    </row>
    <row r="975" ht="15.75" customHeight="1">
      <c r="D975" s="41"/>
    </row>
    <row r="976" ht="15.75" customHeight="1">
      <c r="D976" s="41"/>
    </row>
    <row r="977" ht="15.75" customHeight="1">
      <c r="D977" s="41"/>
    </row>
    <row r="978" ht="15.75" customHeight="1">
      <c r="D978" s="41"/>
    </row>
    <row r="979" ht="15.75" customHeight="1">
      <c r="D979" s="41"/>
    </row>
    <row r="980" ht="15.75" customHeight="1">
      <c r="D980" s="41"/>
    </row>
    <row r="981" ht="15.75" customHeight="1">
      <c r="D981" s="41"/>
    </row>
    <row r="982" ht="15.75" customHeight="1">
      <c r="D982" s="41"/>
    </row>
    <row r="983" ht="15.75" customHeight="1">
      <c r="D983" s="41"/>
    </row>
    <row r="984" ht="15.75" customHeight="1">
      <c r="D984" s="41"/>
    </row>
    <row r="985" ht="15.75" customHeight="1">
      <c r="D985" s="41"/>
    </row>
    <row r="986" ht="15.75" customHeight="1">
      <c r="D986" s="41"/>
    </row>
    <row r="987" ht="15.75" customHeight="1">
      <c r="D987" s="41"/>
    </row>
    <row r="988" ht="15.75" customHeight="1">
      <c r="D988" s="41"/>
    </row>
    <row r="989" ht="15.75" customHeight="1">
      <c r="D989" s="41"/>
    </row>
    <row r="990" ht="15.75" customHeight="1">
      <c r="D990" s="41"/>
    </row>
    <row r="991" ht="15.75" customHeight="1">
      <c r="D991" s="41"/>
    </row>
    <row r="992" ht="15.75" customHeight="1">
      <c r="D992" s="41"/>
    </row>
    <row r="993" ht="15.75" customHeight="1">
      <c r="D993" s="41"/>
    </row>
    <row r="994" ht="15.75" customHeight="1">
      <c r="D994" s="41"/>
    </row>
    <row r="995" ht="15.75" customHeight="1">
      <c r="D995" s="41"/>
    </row>
    <row r="996" ht="15.75" customHeight="1">
      <c r="D996" s="41"/>
    </row>
    <row r="997" ht="15.75" customHeight="1">
      <c r="D997" s="41"/>
    </row>
    <row r="998" ht="15.75" customHeight="1">
      <c r="D998" s="41"/>
    </row>
    <row r="999" ht="15.75" customHeight="1">
      <c r="D999" s="41"/>
    </row>
    <row r="1000" ht="15.75" customHeight="1">
      <c r="D1000" s="41"/>
    </row>
  </sheetData>
  <dataValidations>
    <dataValidation type="list" allowBlank="1" sqref="D2:D1000">
      <formula1>"Validado (activo),Sigue mal (apagado),Validado - lógica revisada,Sigue mal - lógica,Por revisar"</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52.0"/>
    <col customWidth="1" min="3" max="3" width="9.0"/>
    <col customWidth="1" min="4" max="4" width="8.0"/>
    <col customWidth="1" min="5" max="5" width="14.0"/>
    <col customWidth="1" min="6" max="6" width="26.0"/>
    <col customWidth="1" min="7" max="7" width="12.0"/>
    <col customWidth="1" min="8" max="8" width="16.0"/>
    <col customWidth="1" min="9" max="9" width="22.0"/>
  </cols>
  <sheetData>
    <row r="1" ht="30.0" customHeight="1">
      <c r="A1" s="36" t="s">
        <v>2091</v>
      </c>
      <c r="B1" s="36" t="s">
        <v>2232</v>
      </c>
      <c r="C1" s="36" t="s">
        <v>2093</v>
      </c>
      <c r="D1" s="36" t="s">
        <v>2233</v>
      </c>
      <c r="E1" s="36" t="s">
        <v>2234</v>
      </c>
      <c r="F1" s="36" t="s">
        <v>2235</v>
      </c>
      <c r="G1" s="36" t="s">
        <v>2236</v>
      </c>
      <c r="H1" s="36" t="s">
        <v>2237</v>
      </c>
      <c r="I1" s="36" t="s">
        <v>2238</v>
      </c>
    </row>
    <row r="2">
      <c r="A2" s="42">
        <v>1.0</v>
      </c>
      <c r="B2" s="42" t="s">
        <v>2229</v>
      </c>
      <c r="C2" s="42" t="s">
        <v>2239</v>
      </c>
      <c r="D2" s="42">
        <v>60.0</v>
      </c>
      <c r="E2" s="42" t="s">
        <v>100</v>
      </c>
      <c r="F2" s="54" t="s">
        <v>91</v>
      </c>
      <c r="G2" s="42" t="s">
        <v>100</v>
      </c>
      <c r="H2" s="42" t="s">
        <v>91</v>
      </c>
      <c r="I2" s="42" t="s">
        <v>100</v>
      </c>
    </row>
    <row r="3">
      <c r="A3" s="42">
        <v>2.0</v>
      </c>
      <c r="B3" s="42" t="s">
        <v>2187</v>
      </c>
      <c r="C3" s="42" t="s">
        <v>2239</v>
      </c>
      <c r="D3" s="42">
        <v>3.0</v>
      </c>
      <c r="E3" s="42" t="s">
        <v>100</v>
      </c>
      <c r="F3" s="54" t="s">
        <v>91</v>
      </c>
      <c r="G3" s="42" t="s">
        <v>100</v>
      </c>
      <c r="H3" s="42" t="s">
        <v>100</v>
      </c>
      <c r="I3" s="42" t="s">
        <v>100</v>
      </c>
    </row>
    <row r="4">
      <c r="A4" s="42">
        <v>3.0</v>
      </c>
      <c r="B4" s="42" t="s">
        <v>2186</v>
      </c>
      <c r="C4" s="42" t="s">
        <v>2239</v>
      </c>
      <c r="D4" s="42">
        <v>21.0</v>
      </c>
      <c r="E4" s="42" t="s">
        <v>100</v>
      </c>
      <c r="F4" s="54" t="s">
        <v>91</v>
      </c>
      <c r="G4" s="42" t="s">
        <v>100</v>
      </c>
      <c r="H4" s="42" t="s">
        <v>91</v>
      </c>
      <c r="I4" s="42" t="s">
        <v>100</v>
      </c>
    </row>
    <row r="5">
      <c r="A5" s="42">
        <v>4.0</v>
      </c>
      <c r="B5" s="42" t="s">
        <v>2188</v>
      </c>
      <c r="C5" s="42" t="s">
        <v>2239</v>
      </c>
      <c r="D5" s="42">
        <v>20.0</v>
      </c>
      <c r="E5" s="42" t="s">
        <v>100</v>
      </c>
      <c r="F5" s="54" t="s">
        <v>91</v>
      </c>
      <c r="G5" s="42" t="s">
        <v>91</v>
      </c>
      <c r="H5" s="42" t="s">
        <v>91</v>
      </c>
      <c r="I5" s="42" t="s">
        <v>100</v>
      </c>
    </row>
    <row r="6">
      <c r="A6" s="42">
        <v>5.0</v>
      </c>
      <c r="B6" s="42" t="s">
        <v>2130</v>
      </c>
      <c r="C6" s="42" t="s">
        <v>2240</v>
      </c>
      <c r="D6" s="42">
        <v>17.0</v>
      </c>
      <c r="E6" s="42" t="s">
        <v>100</v>
      </c>
      <c r="F6" s="54" t="s">
        <v>91</v>
      </c>
      <c r="G6" s="42" t="s">
        <v>91</v>
      </c>
      <c r="H6" s="42" t="s">
        <v>91</v>
      </c>
      <c r="I6" s="42" t="s">
        <v>100</v>
      </c>
    </row>
    <row r="7">
      <c r="A7" s="42">
        <v>6.0</v>
      </c>
      <c r="B7" s="42" t="s">
        <v>2183</v>
      </c>
      <c r="C7" s="42" t="s">
        <v>2239</v>
      </c>
      <c r="D7" s="42">
        <v>4.0</v>
      </c>
      <c r="E7" s="42" t="s">
        <v>100</v>
      </c>
      <c r="F7" s="54" t="s">
        <v>91</v>
      </c>
      <c r="G7" s="42" t="s">
        <v>100</v>
      </c>
      <c r="H7" s="42" t="s">
        <v>100</v>
      </c>
      <c r="I7" s="42" t="s">
        <v>100</v>
      </c>
    </row>
    <row r="8">
      <c r="A8" s="42">
        <v>7.0</v>
      </c>
      <c r="B8" s="42" t="s">
        <v>2152</v>
      </c>
      <c r="C8" s="42" t="s">
        <v>2240</v>
      </c>
      <c r="D8" s="42">
        <v>17.0</v>
      </c>
      <c r="E8" s="42" t="s">
        <v>100</v>
      </c>
      <c r="F8" s="54" t="s">
        <v>91</v>
      </c>
      <c r="G8" s="42" t="s">
        <v>91</v>
      </c>
      <c r="H8" s="42" t="s">
        <v>91</v>
      </c>
      <c r="I8" s="42" t="s">
        <v>100</v>
      </c>
    </row>
    <row r="9">
      <c r="A9" s="42">
        <v>8.0</v>
      </c>
      <c r="B9" s="42" t="s">
        <v>2161</v>
      </c>
      <c r="C9" s="42" t="s">
        <v>2240</v>
      </c>
      <c r="D9" s="42">
        <v>13.0</v>
      </c>
      <c r="E9" s="42" t="s">
        <v>100</v>
      </c>
      <c r="F9" s="54" t="s">
        <v>91</v>
      </c>
      <c r="G9" s="42" t="s">
        <v>91</v>
      </c>
      <c r="H9" s="42" t="s">
        <v>91</v>
      </c>
      <c r="I9" s="42" t="s">
        <v>100</v>
      </c>
    </row>
    <row r="10">
      <c r="A10" s="42">
        <v>9.0</v>
      </c>
      <c r="B10" s="42" t="s">
        <v>2180</v>
      </c>
      <c r="C10" s="42" t="s">
        <v>2239</v>
      </c>
      <c r="D10" s="42">
        <v>3.0</v>
      </c>
      <c r="E10" s="42" t="s">
        <v>100</v>
      </c>
      <c r="F10" s="54" t="s">
        <v>91</v>
      </c>
      <c r="G10" s="42" t="s">
        <v>100</v>
      </c>
      <c r="H10" s="42" t="s">
        <v>100</v>
      </c>
      <c r="I10" s="42" t="s">
        <v>100</v>
      </c>
    </row>
    <row r="11">
      <c r="A11" s="42">
        <v>10.0</v>
      </c>
      <c r="B11" s="42" t="s">
        <v>2181</v>
      </c>
      <c r="C11" s="42" t="s">
        <v>2239</v>
      </c>
      <c r="D11" s="42">
        <v>3.0</v>
      </c>
      <c r="E11" s="42" t="s">
        <v>100</v>
      </c>
      <c r="F11" s="54" t="s">
        <v>91</v>
      </c>
      <c r="G11" s="42" t="s">
        <v>100</v>
      </c>
      <c r="H11" s="42" t="s">
        <v>100</v>
      </c>
      <c r="I11" s="42" t="s">
        <v>100</v>
      </c>
    </row>
    <row r="12">
      <c r="A12" s="42">
        <v>11.0</v>
      </c>
      <c r="B12" s="42" t="s">
        <v>2185</v>
      </c>
      <c r="C12" s="42" t="s">
        <v>2239</v>
      </c>
      <c r="D12" s="42">
        <v>3.0</v>
      </c>
      <c r="E12" s="42" t="s">
        <v>100</v>
      </c>
      <c r="F12" s="54" t="s">
        <v>91</v>
      </c>
      <c r="G12" s="42" t="s">
        <v>100</v>
      </c>
      <c r="H12" s="42" t="s">
        <v>100</v>
      </c>
      <c r="I12" s="42" t="s">
        <v>100</v>
      </c>
    </row>
    <row r="13">
      <c r="A13" s="42">
        <v>12.0</v>
      </c>
      <c r="B13" s="42" t="s">
        <v>2184</v>
      </c>
      <c r="C13" s="42" t="s">
        <v>2239</v>
      </c>
      <c r="D13" s="42">
        <v>9.0</v>
      </c>
      <c r="E13" s="42" t="s">
        <v>100</v>
      </c>
      <c r="F13" s="54" t="s">
        <v>91</v>
      </c>
      <c r="G13" s="42" t="s">
        <v>100</v>
      </c>
      <c r="H13" s="42" t="s">
        <v>91</v>
      </c>
      <c r="I13" s="42" t="s">
        <v>100</v>
      </c>
    </row>
    <row r="14">
      <c r="A14" s="42">
        <v>13.0</v>
      </c>
      <c r="B14" s="42" t="s">
        <v>2133</v>
      </c>
      <c r="C14" s="42" t="s">
        <v>2240</v>
      </c>
      <c r="D14" s="42">
        <v>9.0</v>
      </c>
      <c r="E14" s="42" t="s">
        <v>100</v>
      </c>
      <c r="F14" s="54" t="s">
        <v>91</v>
      </c>
      <c r="G14" s="42" t="s">
        <v>100</v>
      </c>
      <c r="H14" s="42" t="s">
        <v>91</v>
      </c>
      <c r="I14" s="42" t="s">
        <v>100</v>
      </c>
    </row>
    <row r="15">
      <c r="A15" s="42">
        <v>14.0</v>
      </c>
      <c r="B15" s="42" t="s">
        <v>2190</v>
      </c>
      <c r="C15" s="42" t="s">
        <v>2239</v>
      </c>
      <c r="D15" s="42">
        <v>3.0</v>
      </c>
      <c r="E15" s="42" t="s">
        <v>100</v>
      </c>
      <c r="F15" s="54" t="s">
        <v>91</v>
      </c>
      <c r="G15" s="42" t="s">
        <v>100</v>
      </c>
      <c r="H15" s="42" t="s">
        <v>100</v>
      </c>
      <c r="I15" s="42" t="s">
        <v>100</v>
      </c>
    </row>
    <row r="16">
      <c r="A16" s="42">
        <v>15.0</v>
      </c>
      <c r="B16" s="42" t="s">
        <v>2194</v>
      </c>
      <c r="C16" s="42" t="s">
        <v>2239</v>
      </c>
      <c r="D16" s="42">
        <v>6.0</v>
      </c>
      <c r="E16" s="42" t="s">
        <v>100</v>
      </c>
      <c r="F16" s="54" t="s">
        <v>91</v>
      </c>
      <c r="G16" s="42" t="s">
        <v>100</v>
      </c>
      <c r="H16" s="42" t="s">
        <v>91</v>
      </c>
      <c r="I16" s="54" t="s">
        <v>91</v>
      </c>
    </row>
    <row r="17">
      <c r="A17" s="42">
        <v>16.0</v>
      </c>
      <c r="B17" s="42" t="s">
        <v>2200</v>
      </c>
      <c r="C17" s="42" t="s">
        <v>2239</v>
      </c>
      <c r="D17" s="42">
        <v>4.0</v>
      </c>
      <c r="E17" s="42" t="s">
        <v>100</v>
      </c>
      <c r="F17" s="54" t="s">
        <v>91</v>
      </c>
      <c r="G17" s="42" t="s">
        <v>100</v>
      </c>
      <c r="H17" s="42" t="s">
        <v>100</v>
      </c>
      <c r="I17" s="42" t="s">
        <v>100</v>
      </c>
    </row>
    <row r="18">
      <c r="A18" s="42">
        <v>17.0</v>
      </c>
      <c r="B18" s="42" t="s">
        <v>2136</v>
      </c>
      <c r="C18" s="42" t="s">
        <v>2240</v>
      </c>
      <c r="D18" s="42">
        <v>17.0</v>
      </c>
      <c r="E18" s="42" t="s">
        <v>100</v>
      </c>
      <c r="F18" s="54" t="s">
        <v>91</v>
      </c>
      <c r="G18" s="42" t="s">
        <v>91</v>
      </c>
      <c r="H18" s="42" t="s">
        <v>91</v>
      </c>
      <c r="I18" s="42" t="s">
        <v>100</v>
      </c>
    </row>
    <row r="19">
      <c r="A19" s="42">
        <v>18.0</v>
      </c>
      <c r="B19" s="42" t="s">
        <v>2196</v>
      </c>
      <c r="C19" s="42" t="s">
        <v>2239</v>
      </c>
      <c r="D19" s="42">
        <v>14.0</v>
      </c>
      <c r="E19" s="42" t="s">
        <v>100</v>
      </c>
      <c r="F19" s="54" t="s">
        <v>91</v>
      </c>
      <c r="G19" s="42" t="s">
        <v>100</v>
      </c>
      <c r="H19" s="42" t="s">
        <v>91</v>
      </c>
      <c r="I19" s="42" t="s">
        <v>100</v>
      </c>
    </row>
    <row r="20">
      <c r="A20" s="42">
        <v>19.0</v>
      </c>
      <c r="B20" s="42" t="s">
        <v>2199</v>
      </c>
      <c r="C20" s="42" t="s">
        <v>2239</v>
      </c>
      <c r="D20" s="42">
        <v>3.0</v>
      </c>
      <c r="E20" s="42" t="s">
        <v>100</v>
      </c>
      <c r="F20" s="54" t="s">
        <v>91</v>
      </c>
      <c r="G20" s="42" t="s">
        <v>100</v>
      </c>
      <c r="H20" s="42" t="s">
        <v>100</v>
      </c>
      <c r="I20" s="42" t="s">
        <v>100</v>
      </c>
    </row>
    <row r="21" ht="15.75" customHeight="1">
      <c r="A21" s="42">
        <v>20.0</v>
      </c>
      <c r="B21" s="42" t="s">
        <v>2197</v>
      </c>
      <c r="C21" s="42" t="s">
        <v>2239</v>
      </c>
      <c r="D21" s="42">
        <v>3.0</v>
      </c>
      <c r="E21" s="42" t="s">
        <v>100</v>
      </c>
      <c r="F21" s="54" t="s">
        <v>91</v>
      </c>
      <c r="G21" s="42" t="s">
        <v>100</v>
      </c>
      <c r="H21" s="42" t="s">
        <v>100</v>
      </c>
      <c r="I21" s="42" t="s">
        <v>100</v>
      </c>
    </row>
    <row r="22" ht="15.75" customHeight="1">
      <c r="A22" s="42">
        <v>21.0</v>
      </c>
      <c r="B22" s="42" t="s">
        <v>2195</v>
      </c>
      <c r="C22" s="42" t="s">
        <v>2239</v>
      </c>
      <c r="D22" s="42">
        <v>25.0</v>
      </c>
      <c r="E22" s="42" t="s">
        <v>100</v>
      </c>
      <c r="F22" s="54" t="s">
        <v>91</v>
      </c>
      <c r="G22" s="42" t="s">
        <v>100</v>
      </c>
      <c r="H22" s="42" t="s">
        <v>100</v>
      </c>
      <c r="I22" s="42" t="s">
        <v>100</v>
      </c>
    </row>
    <row r="23" ht="15.75" customHeight="1">
      <c r="A23" s="42">
        <v>22.0</v>
      </c>
      <c r="B23" s="42" t="s">
        <v>2142</v>
      </c>
      <c r="C23" s="42" t="s">
        <v>2240</v>
      </c>
      <c r="D23" s="42">
        <v>3.0</v>
      </c>
      <c r="E23" s="42" t="s">
        <v>100</v>
      </c>
      <c r="F23" s="54" t="s">
        <v>91</v>
      </c>
      <c r="G23" s="42" t="s">
        <v>100</v>
      </c>
      <c r="H23" s="42" t="s">
        <v>100</v>
      </c>
      <c r="I23" s="42" t="s">
        <v>100</v>
      </c>
    </row>
    <row r="24" ht="15.75" customHeight="1">
      <c r="A24" s="42">
        <v>23.0</v>
      </c>
      <c r="B24" s="42" t="s">
        <v>2143</v>
      </c>
      <c r="C24" s="42" t="s">
        <v>2240</v>
      </c>
      <c r="D24" s="42">
        <v>3.0</v>
      </c>
      <c r="E24" s="42" t="s">
        <v>100</v>
      </c>
      <c r="F24" s="54" t="s">
        <v>91</v>
      </c>
      <c r="G24" s="42" t="s">
        <v>100</v>
      </c>
      <c r="H24" s="42" t="s">
        <v>100</v>
      </c>
      <c r="I24" s="42" t="s">
        <v>100</v>
      </c>
    </row>
    <row r="25" ht="15.75" customHeight="1">
      <c r="A25" s="42">
        <v>24.0</v>
      </c>
      <c r="B25" s="42" t="s">
        <v>2138</v>
      </c>
      <c r="C25" s="42" t="s">
        <v>2240</v>
      </c>
      <c r="D25" s="42">
        <v>7.0</v>
      </c>
      <c r="E25" s="42" t="s">
        <v>100</v>
      </c>
      <c r="F25" s="54" t="s">
        <v>91</v>
      </c>
      <c r="G25" s="42" t="s">
        <v>100</v>
      </c>
      <c r="H25" s="42" t="s">
        <v>100</v>
      </c>
      <c r="I25" s="42" t="s">
        <v>100</v>
      </c>
    </row>
    <row r="26" ht="15.75" customHeight="1">
      <c r="A26" s="42">
        <v>25.0</v>
      </c>
      <c r="B26" s="42" t="s">
        <v>2151</v>
      </c>
      <c r="C26" s="42" t="s">
        <v>2240</v>
      </c>
      <c r="D26" s="42">
        <v>19.0</v>
      </c>
      <c r="E26" s="42" t="s">
        <v>100</v>
      </c>
      <c r="F26" s="54" t="s">
        <v>91</v>
      </c>
      <c r="G26" s="42" t="s">
        <v>100</v>
      </c>
      <c r="H26" s="42" t="s">
        <v>91</v>
      </c>
      <c r="I26" s="42" t="s">
        <v>100</v>
      </c>
    </row>
    <row r="27" ht="15.75" customHeight="1">
      <c r="A27" s="42">
        <v>26.0</v>
      </c>
      <c r="B27" s="42" t="s">
        <v>2201</v>
      </c>
      <c r="C27" s="42" t="s">
        <v>2239</v>
      </c>
      <c r="D27" s="42">
        <v>9.0</v>
      </c>
      <c r="E27" s="42" t="s">
        <v>100</v>
      </c>
      <c r="F27" s="54" t="s">
        <v>91</v>
      </c>
      <c r="G27" s="42" t="s">
        <v>100</v>
      </c>
      <c r="H27" s="42" t="s">
        <v>91</v>
      </c>
      <c r="I27" s="42" t="s">
        <v>100</v>
      </c>
    </row>
    <row r="28" ht="15.75" customHeight="1">
      <c r="A28" s="42">
        <v>27.0</v>
      </c>
      <c r="B28" s="42" t="s">
        <v>2145</v>
      </c>
      <c r="C28" s="42" t="s">
        <v>2240</v>
      </c>
      <c r="D28" s="42">
        <v>3.0</v>
      </c>
      <c r="E28" s="42" t="s">
        <v>100</v>
      </c>
      <c r="F28" s="54" t="s">
        <v>91</v>
      </c>
      <c r="G28" s="42" t="s">
        <v>100</v>
      </c>
      <c r="H28" s="42" t="s">
        <v>100</v>
      </c>
      <c r="I28" s="42" t="s">
        <v>100</v>
      </c>
    </row>
    <row r="29" ht="15.75" customHeight="1">
      <c r="A29" s="42">
        <v>28.0</v>
      </c>
      <c r="B29" s="42" t="s">
        <v>2148</v>
      </c>
      <c r="C29" s="42" t="s">
        <v>2240</v>
      </c>
      <c r="D29" s="42">
        <v>3.0</v>
      </c>
      <c r="E29" s="42" t="s">
        <v>100</v>
      </c>
      <c r="F29" s="54" t="s">
        <v>91</v>
      </c>
      <c r="G29" s="42" t="s">
        <v>100</v>
      </c>
      <c r="H29" s="42" t="s">
        <v>100</v>
      </c>
      <c r="I29" s="42" t="s">
        <v>100</v>
      </c>
    </row>
    <row r="30" ht="15.75" customHeight="1">
      <c r="A30" s="42">
        <v>29.0</v>
      </c>
      <c r="B30" s="42" t="s">
        <v>2150</v>
      </c>
      <c r="C30" s="42" t="s">
        <v>2240</v>
      </c>
      <c r="D30" s="42">
        <v>14.0</v>
      </c>
      <c r="E30" s="42" t="s">
        <v>100</v>
      </c>
      <c r="F30" s="54" t="s">
        <v>91</v>
      </c>
      <c r="G30" s="42" t="s">
        <v>100</v>
      </c>
      <c r="H30" s="42" t="s">
        <v>100</v>
      </c>
      <c r="I30" s="42" t="s">
        <v>100</v>
      </c>
    </row>
    <row r="31" ht="15.75" customHeight="1">
      <c r="A31" s="42">
        <v>30.0</v>
      </c>
      <c r="B31" s="42" t="s">
        <v>2144</v>
      </c>
      <c r="C31" s="42" t="s">
        <v>2240</v>
      </c>
      <c r="D31" s="42">
        <v>2.0</v>
      </c>
      <c r="E31" s="42" t="s">
        <v>100</v>
      </c>
      <c r="F31" s="54" t="s">
        <v>91</v>
      </c>
      <c r="G31" s="42" t="s">
        <v>100</v>
      </c>
      <c r="H31" s="42" t="s">
        <v>91</v>
      </c>
      <c r="I31" s="42" t="s">
        <v>100</v>
      </c>
    </row>
    <row r="32" ht="15.75" customHeight="1">
      <c r="A32" s="42">
        <v>31.0</v>
      </c>
      <c r="B32" s="42" t="s">
        <v>2146</v>
      </c>
      <c r="C32" s="42" t="s">
        <v>2240</v>
      </c>
      <c r="D32" s="42">
        <v>14.0</v>
      </c>
      <c r="E32" s="42" t="s">
        <v>100</v>
      </c>
      <c r="F32" s="54" t="s">
        <v>91</v>
      </c>
      <c r="G32" s="42" t="s">
        <v>100</v>
      </c>
      <c r="H32" s="42" t="s">
        <v>100</v>
      </c>
      <c r="I32" s="42" t="s">
        <v>100</v>
      </c>
    </row>
    <row r="33" ht="15.75" customHeight="1">
      <c r="A33" s="42">
        <v>32.0</v>
      </c>
      <c r="B33" s="42" t="s">
        <v>2139</v>
      </c>
      <c r="C33" s="42" t="s">
        <v>2240</v>
      </c>
      <c r="D33" s="42">
        <v>3.0</v>
      </c>
      <c r="E33" s="42" t="s">
        <v>100</v>
      </c>
      <c r="F33" s="54" t="s">
        <v>91</v>
      </c>
      <c r="G33" s="42" t="s">
        <v>100</v>
      </c>
      <c r="H33" s="42" t="s">
        <v>100</v>
      </c>
      <c r="I33" s="42" t="s">
        <v>100</v>
      </c>
    </row>
    <row r="34" ht="15.75" customHeight="1">
      <c r="A34" s="42">
        <v>33.0</v>
      </c>
      <c r="B34" s="42" t="s">
        <v>2140</v>
      </c>
      <c r="C34" s="42" t="s">
        <v>2240</v>
      </c>
      <c r="D34" s="42">
        <v>7.0</v>
      </c>
      <c r="E34" s="42" t="s">
        <v>100</v>
      </c>
      <c r="F34" s="54" t="s">
        <v>91</v>
      </c>
      <c r="G34" s="42" t="s">
        <v>100</v>
      </c>
      <c r="H34" s="42" t="s">
        <v>100</v>
      </c>
      <c r="I34" s="42" t="s">
        <v>100</v>
      </c>
    </row>
    <row r="35" ht="15.75" customHeight="1">
      <c r="A35" s="42">
        <v>34.0</v>
      </c>
      <c r="B35" s="42" t="s">
        <v>2147</v>
      </c>
      <c r="C35" s="42" t="s">
        <v>2240</v>
      </c>
      <c r="D35" s="42">
        <v>2.0</v>
      </c>
      <c r="E35" s="42" t="s">
        <v>100</v>
      </c>
      <c r="F35" s="54" t="s">
        <v>91</v>
      </c>
      <c r="G35" s="42" t="s">
        <v>100</v>
      </c>
      <c r="H35" s="42" t="s">
        <v>100</v>
      </c>
      <c r="I35" s="42" t="s">
        <v>100</v>
      </c>
    </row>
    <row r="36" ht="15.75" customHeight="1">
      <c r="A36" s="42">
        <v>35.0</v>
      </c>
      <c r="B36" s="42" t="s">
        <v>2224</v>
      </c>
      <c r="C36" s="42" t="s">
        <v>2239</v>
      </c>
      <c r="D36" s="42">
        <v>3.0</v>
      </c>
      <c r="E36" s="42" t="s">
        <v>100</v>
      </c>
      <c r="F36" s="54" t="s">
        <v>91</v>
      </c>
      <c r="G36" s="42" t="s">
        <v>100</v>
      </c>
      <c r="H36" s="42" t="s">
        <v>100</v>
      </c>
      <c r="I36" s="42" t="s">
        <v>100</v>
      </c>
    </row>
    <row r="37" ht="15.75" customHeight="1">
      <c r="A37" s="42">
        <v>36.0</v>
      </c>
      <c r="B37" s="42" t="s">
        <v>2149</v>
      </c>
      <c r="C37" s="42" t="s">
        <v>2240</v>
      </c>
      <c r="D37" s="42">
        <v>3.0</v>
      </c>
      <c r="E37" s="42" t="s">
        <v>100</v>
      </c>
      <c r="F37" s="54" t="s">
        <v>91</v>
      </c>
      <c r="G37" s="42" t="s">
        <v>100</v>
      </c>
      <c r="H37" s="42" t="s">
        <v>100</v>
      </c>
      <c r="I37" s="42" t="s">
        <v>100</v>
      </c>
    </row>
    <row r="38" ht="15.75" customHeight="1">
      <c r="A38" s="42">
        <v>37.0</v>
      </c>
      <c r="B38" s="42" t="s">
        <v>2225</v>
      </c>
      <c r="C38" s="42" t="s">
        <v>2239</v>
      </c>
      <c r="D38" s="42">
        <v>3.0</v>
      </c>
      <c r="E38" s="42" t="s">
        <v>100</v>
      </c>
      <c r="F38" s="54" t="s">
        <v>91</v>
      </c>
      <c r="G38" s="42" t="s">
        <v>100</v>
      </c>
      <c r="H38" s="42" t="s">
        <v>100</v>
      </c>
      <c r="I38" s="42" t="s">
        <v>100</v>
      </c>
    </row>
    <row r="39" ht="15.75" customHeight="1">
      <c r="A39" s="42">
        <v>38.0</v>
      </c>
      <c r="B39" s="42" t="s">
        <v>2141</v>
      </c>
      <c r="C39" s="42" t="s">
        <v>2240</v>
      </c>
      <c r="D39" s="42">
        <v>2.0</v>
      </c>
      <c r="E39" s="42" t="s">
        <v>100</v>
      </c>
      <c r="F39" s="54" t="s">
        <v>91</v>
      </c>
      <c r="G39" s="42" t="s">
        <v>100</v>
      </c>
      <c r="H39" s="42" t="s">
        <v>100</v>
      </c>
      <c r="I39" s="42" t="s">
        <v>100</v>
      </c>
    </row>
    <row r="40" ht="15.75" customHeight="1">
      <c r="A40" s="42">
        <v>39.0</v>
      </c>
      <c r="B40" s="42" t="s">
        <v>2226</v>
      </c>
      <c r="C40" s="42" t="s">
        <v>2239</v>
      </c>
      <c r="D40" s="42">
        <v>3.0</v>
      </c>
      <c r="E40" s="42" t="s">
        <v>100</v>
      </c>
      <c r="F40" s="54" t="s">
        <v>91</v>
      </c>
      <c r="G40" s="42" t="s">
        <v>100</v>
      </c>
      <c r="H40" s="42" t="s">
        <v>100</v>
      </c>
      <c r="I40" s="42" t="s">
        <v>100</v>
      </c>
    </row>
    <row r="41" ht="15.75" customHeight="1">
      <c r="A41" s="42">
        <v>40.0</v>
      </c>
      <c r="B41" s="42" t="s">
        <v>2227</v>
      </c>
      <c r="C41" s="42" t="s">
        <v>2239</v>
      </c>
      <c r="D41" s="42">
        <v>3.0</v>
      </c>
      <c r="E41" s="42" t="s">
        <v>100</v>
      </c>
      <c r="F41" s="54" t="s">
        <v>91</v>
      </c>
      <c r="G41" s="42" t="s">
        <v>100</v>
      </c>
      <c r="H41" s="42" t="s">
        <v>100</v>
      </c>
      <c r="I41" s="42" t="s">
        <v>100</v>
      </c>
    </row>
    <row r="42" ht="15.75" customHeight="1">
      <c r="A42" s="42">
        <v>41.0</v>
      </c>
      <c r="B42" s="42" t="s">
        <v>2228</v>
      </c>
      <c r="C42" s="42" t="s">
        <v>2239</v>
      </c>
      <c r="D42" s="42">
        <v>3.0</v>
      </c>
      <c r="E42" s="42" t="s">
        <v>100</v>
      </c>
      <c r="F42" s="54" t="s">
        <v>91</v>
      </c>
      <c r="G42" s="42" t="s">
        <v>100</v>
      </c>
      <c r="H42" s="42" t="s">
        <v>100</v>
      </c>
      <c r="I42" s="42" t="s">
        <v>100</v>
      </c>
    </row>
    <row r="43" ht="15.75" customHeight="1">
      <c r="A43" s="42">
        <v>42.0</v>
      </c>
      <c r="B43" s="42" t="s">
        <v>2202</v>
      </c>
      <c r="C43" s="42" t="s">
        <v>2239</v>
      </c>
      <c r="D43" s="42">
        <v>5.0</v>
      </c>
      <c r="E43" s="42" t="s">
        <v>100</v>
      </c>
      <c r="F43" s="54" t="s">
        <v>91</v>
      </c>
      <c r="G43" s="42" t="s">
        <v>100</v>
      </c>
      <c r="H43" s="42" t="s">
        <v>91</v>
      </c>
      <c r="I43" s="42" t="s">
        <v>100</v>
      </c>
    </row>
    <row r="44" ht="15.75" customHeight="1">
      <c r="A44" s="42">
        <v>43.0</v>
      </c>
      <c r="B44" s="42" t="s">
        <v>2204</v>
      </c>
      <c r="C44" s="42" t="s">
        <v>2239</v>
      </c>
      <c r="D44" s="42">
        <v>23.0</v>
      </c>
      <c r="E44" s="42" t="s">
        <v>100</v>
      </c>
      <c r="F44" s="54" t="s">
        <v>91</v>
      </c>
      <c r="G44" s="42" t="s">
        <v>100</v>
      </c>
      <c r="H44" s="42" t="s">
        <v>91</v>
      </c>
      <c r="I44" s="42" t="s">
        <v>100</v>
      </c>
    </row>
    <row r="45" ht="15.75" customHeight="1">
      <c r="A45" s="42">
        <v>44.0</v>
      </c>
      <c r="B45" s="42" t="s">
        <v>2205</v>
      </c>
      <c r="C45" s="42" t="s">
        <v>2239</v>
      </c>
      <c r="D45" s="42">
        <v>3.0</v>
      </c>
      <c r="E45" s="42" t="s">
        <v>100</v>
      </c>
      <c r="F45" s="54" t="s">
        <v>91</v>
      </c>
      <c r="G45" s="42" t="s">
        <v>100</v>
      </c>
      <c r="H45" s="42" t="s">
        <v>100</v>
      </c>
      <c r="I45" s="42" t="s">
        <v>100</v>
      </c>
    </row>
    <row r="46" ht="15.75" customHeight="1">
      <c r="A46" s="42">
        <v>45.0</v>
      </c>
      <c r="B46" s="42" t="s">
        <v>2153</v>
      </c>
      <c r="C46" s="42" t="s">
        <v>2240</v>
      </c>
      <c r="D46" s="42">
        <v>2.0</v>
      </c>
      <c r="E46" s="42" t="s">
        <v>100</v>
      </c>
      <c r="F46" s="54" t="s">
        <v>91</v>
      </c>
      <c r="G46" s="42" t="s">
        <v>100</v>
      </c>
      <c r="H46" s="42" t="s">
        <v>91</v>
      </c>
      <c r="I46" s="42" t="s">
        <v>100</v>
      </c>
    </row>
    <row r="47" ht="15.75" customHeight="1">
      <c r="A47" s="42">
        <v>46.0</v>
      </c>
      <c r="B47" s="42" t="s">
        <v>2155</v>
      </c>
      <c r="C47" s="42" t="s">
        <v>2240</v>
      </c>
      <c r="D47" s="42">
        <v>5.0</v>
      </c>
      <c r="E47" s="42" t="s">
        <v>100</v>
      </c>
      <c r="F47" s="54" t="s">
        <v>91</v>
      </c>
      <c r="G47" s="42" t="s">
        <v>100</v>
      </c>
      <c r="H47" s="42" t="s">
        <v>91</v>
      </c>
      <c r="I47" s="42" t="s">
        <v>100</v>
      </c>
    </row>
    <row r="48" ht="15.75" customHeight="1">
      <c r="A48" s="42">
        <v>47.0</v>
      </c>
      <c r="B48" s="42" t="s">
        <v>2206</v>
      </c>
      <c r="C48" s="42" t="s">
        <v>2239</v>
      </c>
      <c r="D48" s="42">
        <v>68.0</v>
      </c>
      <c r="E48" s="42" t="s">
        <v>100</v>
      </c>
      <c r="F48" s="54" t="s">
        <v>91</v>
      </c>
      <c r="G48" s="42" t="s">
        <v>100</v>
      </c>
      <c r="H48" s="42" t="s">
        <v>91</v>
      </c>
      <c r="I48" s="42" t="s">
        <v>100</v>
      </c>
    </row>
    <row r="49" ht="15.75" customHeight="1">
      <c r="A49" s="42">
        <v>48.0</v>
      </c>
      <c r="B49" s="42" t="s">
        <v>2208</v>
      </c>
      <c r="C49" s="42" t="s">
        <v>2239</v>
      </c>
      <c r="D49" s="42">
        <v>3.0</v>
      </c>
      <c r="E49" s="42" t="s">
        <v>100</v>
      </c>
      <c r="F49" s="54" t="s">
        <v>91</v>
      </c>
      <c r="G49" s="42" t="s">
        <v>100</v>
      </c>
      <c r="H49" s="42" t="s">
        <v>100</v>
      </c>
      <c r="I49" s="42" t="s">
        <v>100</v>
      </c>
    </row>
    <row r="50" ht="15.75" customHeight="1">
      <c r="A50" s="42">
        <v>49.0</v>
      </c>
      <c r="B50" s="42" t="s">
        <v>2213</v>
      </c>
      <c r="C50" s="42" t="s">
        <v>2239</v>
      </c>
      <c r="D50" s="42">
        <v>3.0</v>
      </c>
      <c r="E50" s="42" t="s">
        <v>100</v>
      </c>
      <c r="F50" s="54" t="s">
        <v>91</v>
      </c>
      <c r="G50" s="42" t="s">
        <v>100</v>
      </c>
      <c r="H50" s="42" t="s">
        <v>100</v>
      </c>
      <c r="I50" s="42" t="s">
        <v>100</v>
      </c>
    </row>
    <row r="51" ht="15.75" customHeight="1">
      <c r="A51" s="42">
        <v>50.0</v>
      </c>
      <c r="B51" s="42" t="s">
        <v>2212</v>
      </c>
      <c r="C51" s="42" t="s">
        <v>2239</v>
      </c>
      <c r="D51" s="42">
        <v>45.0</v>
      </c>
      <c r="E51" s="42" t="s">
        <v>100</v>
      </c>
      <c r="F51" s="54" t="s">
        <v>91</v>
      </c>
      <c r="G51" s="42" t="s">
        <v>100</v>
      </c>
      <c r="H51" s="42" t="s">
        <v>91</v>
      </c>
      <c r="I51" s="42" t="s">
        <v>100</v>
      </c>
    </row>
    <row r="52" ht="15.75" customHeight="1">
      <c r="A52" s="42">
        <v>51.0</v>
      </c>
      <c r="B52" s="42" t="s">
        <v>2209</v>
      </c>
      <c r="C52" s="42" t="s">
        <v>2239</v>
      </c>
      <c r="D52" s="42">
        <v>3.0</v>
      </c>
      <c r="E52" s="42" t="s">
        <v>100</v>
      </c>
      <c r="F52" s="54" t="s">
        <v>91</v>
      </c>
      <c r="G52" s="42" t="s">
        <v>100</v>
      </c>
      <c r="H52" s="42" t="s">
        <v>100</v>
      </c>
      <c r="I52" s="42" t="s">
        <v>100</v>
      </c>
    </row>
    <row r="53" ht="15.75" customHeight="1">
      <c r="A53" s="42">
        <v>52.0</v>
      </c>
      <c r="B53" s="42" t="s">
        <v>2211</v>
      </c>
      <c r="C53" s="42" t="s">
        <v>2239</v>
      </c>
      <c r="D53" s="42">
        <v>3.0</v>
      </c>
      <c r="E53" s="42" t="s">
        <v>100</v>
      </c>
      <c r="F53" s="54" t="s">
        <v>91</v>
      </c>
      <c r="G53" s="42" t="s">
        <v>100</v>
      </c>
      <c r="H53" s="42" t="s">
        <v>100</v>
      </c>
      <c r="I53" s="42" t="s">
        <v>100</v>
      </c>
    </row>
    <row r="54" ht="15.75" customHeight="1">
      <c r="A54" s="42">
        <v>53.0</v>
      </c>
      <c r="B54" s="42" t="s">
        <v>2210</v>
      </c>
      <c r="C54" s="42" t="s">
        <v>2239</v>
      </c>
      <c r="D54" s="42">
        <v>50.0</v>
      </c>
      <c r="E54" s="42" t="s">
        <v>100</v>
      </c>
      <c r="F54" s="54" t="s">
        <v>91</v>
      </c>
      <c r="G54" s="42" t="s">
        <v>100</v>
      </c>
      <c r="H54" s="42" t="s">
        <v>91</v>
      </c>
      <c r="I54" s="42" t="s">
        <v>100</v>
      </c>
    </row>
    <row r="55" ht="15.75" customHeight="1">
      <c r="A55" s="42">
        <v>54.0</v>
      </c>
      <c r="B55" s="42" t="s">
        <v>2207</v>
      </c>
      <c r="C55" s="42" t="s">
        <v>2239</v>
      </c>
      <c r="D55" s="42">
        <v>3.0</v>
      </c>
      <c r="E55" s="42" t="s">
        <v>100</v>
      </c>
      <c r="F55" s="54" t="s">
        <v>91</v>
      </c>
      <c r="G55" s="42" t="s">
        <v>100</v>
      </c>
      <c r="H55" s="42" t="s">
        <v>100</v>
      </c>
      <c r="I55" s="42" t="s">
        <v>100</v>
      </c>
    </row>
    <row r="56" ht="15.75" customHeight="1">
      <c r="A56" s="42">
        <v>55.0</v>
      </c>
      <c r="B56" s="42" t="s">
        <v>2215</v>
      </c>
      <c r="C56" s="42" t="s">
        <v>2239</v>
      </c>
      <c r="D56" s="42">
        <v>15.0</v>
      </c>
      <c r="E56" s="42" t="s">
        <v>100</v>
      </c>
      <c r="F56" s="54" t="s">
        <v>91</v>
      </c>
      <c r="G56" s="42" t="s">
        <v>100</v>
      </c>
      <c r="H56" s="42" t="s">
        <v>100</v>
      </c>
      <c r="I56" s="42" t="s">
        <v>100</v>
      </c>
    </row>
    <row r="57" ht="15.75" customHeight="1">
      <c r="A57" s="42">
        <v>56.0</v>
      </c>
      <c r="B57" s="42" t="s">
        <v>2214</v>
      </c>
      <c r="C57" s="42" t="s">
        <v>2239</v>
      </c>
      <c r="D57" s="42">
        <v>10.0</v>
      </c>
      <c r="E57" s="42" t="s">
        <v>100</v>
      </c>
      <c r="F57" s="54" t="s">
        <v>91</v>
      </c>
      <c r="G57" s="42" t="s">
        <v>100</v>
      </c>
      <c r="H57" s="42" t="s">
        <v>91</v>
      </c>
      <c r="I57" s="42" t="s">
        <v>100</v>
      </c>
    </row>
    <row r="58" ht="15.75" customHeight="1">
      <c r="A58" s="42">
        <v>57.0</v>
      </c>
      <c r="B58" s="42" t="s">
        <v>2220</v>
      </c>
      <c r="C58" s="42" t="s">
        <v>2239</v>
      </c>
      <c r="D58" s="42">
        <v>5.0</v>
      </c>
      <c r="E58" s="42" t="s">
        <v>100</v>
      </c>
      <c r="F58" s="54" t="s">
        <v>91</v>
      </c>
      <c r="G58" s="42" t="s">
        <v>100</v>
      </c>
      <c r="H58" s="42" t="s">
        <v>91</v>
      </c>
      <c r="I58" s="42" t="s">
        <v>100</v>
      </c>
    </row>
    <row r="59" ht="15.75" customHeight="1">
      <c r="A59" s="42">
        <v>58.0</v>
      </c>
      <c r="B59" s="42" t="s">
        <v>2222</v>
      </c>
      <c r="C59" s="42" t="s">
        <v>2239</v>
      </c>
      <c r="D59" s="42">
        <v>2.0</v>
      </c>
      <c r="E59" s="42" t="s">
        <v>100</v>
      </c>
      <c r="F59" s="54" t="s">
        <v>91</v>
      </c>
      <c r="G59" s="42" t="s">
        <v>100</v>
      </c>
      <c r="H59" s="42" t="s">
        <v>91</v>
      </c>
      <c r="I59" s="42" t="s">
        <v>100</v>
      </c>
    </row>
    <row r="60" ht="15.75" customHeight="1">
      <c r="A60" s="42">
        <v>59.0</v>
      </c>
      <c r="B60" s="42" t="s">
        <v>2221</v>
      </c>
      <c r="C60" s="42" t="s">
        <v>2239</v>
      </c>
      <c r="D60" s="42">
        <v>3.0</v>
      </c>
      <c r="E60" s="42" t="s">
        <v>100</v>
      </c>
      <c r="F60" s="54" t="s">
        <v>91</v>
      </c>
      <c r="G60" s="42" t="s">
        <v>100</v>
      </c>
      <c r="H60" s="42" t="s">
        <v>100</v>
      </c>
      <c r="I60" s="42" t="s">
        <v>100</v>
      </c>
    </row>
    <row r="61" ht="15.75" customHeight="1">
      <c r="A61" s="42">
        <v>60.0</v>
      </c>
      <c r="B61" s="42" t="s">
        <v>2223</v>
      </c>
      <c r="C61" s="42" t="s">
        <v>2239</v>
      </c>
      <c r="D61" s="42">
        <v>3.0</v>
      </c>
      <c r="E61" s="42" t="s">
        <v>100</v>
      </c>
      <c r="F61" s="54" t="s">
        <v>91</v>
      </c>
      <c r="G61" s="42" t="s">
        <v>100</v>
      </c>
      <c r="H61" s="42" t="s">
        <v>100</v>
      </c>
      <c r="I61" s="42" t="s">
        <v>100</v>
      </c>
    </row>
    <row r="62" ht="15.75" customHeight="1">
      <c r="A62" s="42">
        <v>61.0</v>
      </c>
      <c r="B62" s="42" t="s">
        <v>2156</v>
      </c>
      <c r="C62" s="42" t="s">
        <v>2240</v>
      </c>
      <c r="D62" s="42">
        <v>0.0</v>
      </c>
      <c r="E62" s="42" t="s">
        <v>100</v>
      </c>
      <c r="F62" s="54" t="s">
        <v>91</v>
      </c>
      <c r="G62" s="42" t="s">
        <v>100</v>
      </c>
      <c r="H62" s="42" t="s">
        <v>100</v>
      </c>
      <c r="I62" s="42" t="s">
        <v>100</v>
      </c>
    </row>
    <row r="63" ht="15.75" customHeight="1">
      <c r="A63" s="42">
        <v>62.0</v>
      </c>
      <c r="B63" s="42" t="s">
        <v>2216</v>
      </c>
      <c r="C63" s="42" t="s">
        <v>2239</v>
      </c>
      <c r="D63" s="42">
        <v>3.0</v>
      </c>
      <c r="E63" s="42" t="s">
        <v>100</v>
      </c>
      <c r="F63" s="54" t="s">
        <v>91</v>
      </c>
      <c r="G63" s="42" t="s">
        <v>100</v>
      </c>
      <c r="H63" s="42" t="s">
        <v>100</v>
      </c>
      <c r="I63" s="42" t="s">
        <v>100</v>
      </c>
    </row>
    <row r="64" ht="15.75" customHeight="1">
      <c r="A64" s="42">
        <v>63.0</v>
      </c>
      <c r="B64" s="42" t="s">
        <v>2218</v>
      </c>
      <c r="C64" s="42" t="s">
        <v>2239</v>
      </c>
      <c r="D64" s="42">
        <v>25.0</v>
      </c>
      <c r="E64" s="42" t="s">
        <v>100</v>
      </c>
      <c r="F64" s="54" t="s">
        <v>91</v>
      </c>
      <c r="G64" s="42" t="s">
        <v>100</v>
      </c>
      <c r="H64" s="42" t="s">
        <v>91</v>
      </c>
      <c r="I64" s="42" t="s">
        <v>100</v>
      </c>
    </row>
    <row r="65" ht="15.75" customHeight="1">
      <c r="A65" s="42">
        <v>64.0</v>
      </c>
      <c r="B65" s="42" t="s">
        <v>2219</v>
      </c>
      <c r="C65" s="42" t="s">
        <v>2239</v>
      </c>
      <c r="D65" s="42">
        <v>2.0</v>
      </c>
      <c r="E65" s="42" t="s">
        <v>100</v>
      </c>
      <c r="F65" s="54" t="s">
        <v>91</v>
      </c>
      <c r="G65" s="42" t="s">
        <v>100</v>
      </c>
      <c r="H65" s="42" t="s">
        <v>91</v>
      </c>
      <c r="I65" s="42" t="s">
        <v>100</v>
      </c>
    </row>
    <row r="66" ht="15.75" customHeight="1">
      <c r="A66" s="42">
        <v>65.0</v>
      </c>
      <c r="B66" s="42" t="s">
        <v>2217</v>
      </c>
      <c r="C66" s="42" t="s">
        <v>2239</v>
      </c>
      <c r="D66" s="42">
        <v>13.0</v>
      </c>
      <c r="E66" s="42" t="s">
        <v>100</v>
      </c>
      <c r="F66" s="54" t="s">
        <v>91</v>
      </c>
      <c r="G66" s="42" t="s">
        <v>100</v>
      </c>
      <c r="H66" s="42" t="s">
        <v>91</v>
      </c>
      <c r="I66" s="42" t="s">
        <v>100</v>
      </c>
    </row>
    <row r="67" ht="15.75" customHeight="1">
      <c r="A67" s="42">
        <v>66.0</v>
      </c>
      <c r="B67" s="42" t="s">
        <v>2158</v>
      </c>
      <c r="C67" s="42" t="s">
        <v>2240</v>
      </c>
      <c r="D67" s="42">
        <v>7.0</v>
      </c>
      <c r="E67" s="42" t="s">
        <v>100</v>
      </c>
      <c r="F67" s="54" t="s">
        <v>91</v>
      </c>
      <c r="G67" s="42" t="s">
        <v>100</v>
      </c>
      <c r="H67" s="42" t="s">
        <v>91</v>
      </c>
      <c r="I67" s="42" t="s">
        <v>100</v>
      </c>
    </row>
    <row r="68" ht="15.75" customHeight="1">
      <c r="A68" s="42">
        <v>67.0</v>
      </c>
      <c r="B68" s="42" t="s">
        <v>2172</v>
      </c>
      <c r="C68" s="42" t="s">
        <v>2239</v>
      </c>
      <c r="D68" s="42">
        <v>2.0</v>
      </c>
      <c r="E68" s="42" t="s">
        <v>100</v>
      </c>
      <c r="F68" s="54" t="s">
        <v>91</v>
      </c>
      <c r="G68" s="42" t="s">
        <v>100</v>
      </c>
      <c r="H68" s="42" t="s">
        <v>100</v>
      </c>
      <c r="I68" s="42" t="s">
        <v>100</v>
      </c>
    </row>
    <row r="69" ht="15.75" customHeight="1">
      <c r="A69" s="42">
        <v>68.0</v>
      </c>
      <c r="B69" s="42" t="s">
        <v>2110</v>
      </c>
      <c r="C69" s="42" t="s">
        <v>2240</v>
      </c>
      <c r="D69" s="42">
        <v>39.0</v>
      </c>
      <c r="E69" s="42" t="s">
        <v>100</v>
      </c>
      <c r="F69" s="54" t="s">
        <v>91</v>
      </c>
      <c r="G69" s="42" t="s">
        <v>100</v>
      </c>
      <c r="H69" s="42" t="s">
        <v>100</v>
      </c>
      <c r="I69" s="42" t="s">
        <v>100</v>
      </c>
    </row>
    <row r="70" ht="15.75" customHeight="1">
      <c r="A70" s="42">
        <v>69.0</v>
      </c>
      <c r="B70" s="42" t="s">
        <v>2113</v>
      </c>
      <c r="C70" s="42" t="s">
        <v>2240</v>
      </c>
      <c r="D70" s="42">
        <v>14.0</v>
      </c>
      <c r="E70" s="42" t="s">
        <v>100</v>
      </c>
      <c r="F70" s="54" t="s">
        <v>91</v>
      </c>
      <c r="G70" s="42" t="s">
        <v>100</v>
      </c>
      <c r="H70" s="42" t="s">
        <v>100</v>
      </c>
      <c r="I70" s="42" t="s">
        <v>100</v>
      </c>
    </row>
    <row r="71" ht="15.75" customHeight="1">
      <c r="A71" s="42">
        <v>70.0</v>
      </c>
      <c r="B71" s="42" t="s">
        <v>2115</v>
      </c>
      <c r="C71" s="42" t="s">
        <v>2240</v>
      </c>
      <c r="D71" s="42">
        <v>9.0</v>
      </c>
      <c r="E71" s="42" t="s">
        <v>100</v>
      </c>
      <c r="F71" s="54" t="s">
        <v>91</v>
      </c>
      <c r="G71" s="42" t="s">
        <v>100</v>
      </c>
      <c r="H71" s="42" t="s">
        <v>91</v>
      </c>
      <c r="I71" s="42" t="s">
        <v>100</v>
      </c>
    </row>
    <row r="72" ht="15.75" customHeight="1">
      <c r="A72" s="42">
        <v>71.0</v>
      </c>
      <c r="B72" s="42" t="s">
        <v>2117</v>
      </c>
      <c r="C72" s="42" t="s">
        <v>2240</v>
      </c>
      <c r="D72" s="42">
        <v>12.0</v>
      </c>
      <c r="E72" s="42" t="s">
        <v>100</v>
      </c>
      <c r="F72" s="54" t="s">
        <v>91</v>
      </c>
      <c r="G72" s="42" t="s">
        <v>100</v>
      </c>
      <c r="H72" s="42" t="s">
        <v>91</v>
      </c>
      <c r="I72" s="42" t="s">
        <v>100</v>
      </c>
    </row>
    <row r="73" ht="15.75" customHeight="1">
      <c r="A73" s="42">
        <v>72.0</v>
      </c>
      <c r="B73" s="42" t="s">
        <v>2128</v>
      </c>
      <c r="C73" s="42" t="s">
        <v>2240</v>
      </c>
      <c r="D73" s="42">
        <v>0.0</v>
      </c>
      <c r="E73" s="42" t="s">
        <v>100</v>
      </c>
      <c r="F73" s="54" t="s">
        <v>91</v>
      </c>
      <c r="G73" s="42" t="s">
        <v>100</v>
      </c>
      <c r="H73" s="42" t="s">
        <v>100</v>
      </c>
      <c r="I73" s="42" t="s">
        <v>100</v>
      </c>
    </row>
    <row r="74" ht="15.75" customHeight="1">
      <c r="A74" s="42">
        <v>73.0</v>
      </c>
      <c r="B74" s="42" t="s">
        <v>2104</v>
      </c>
      <c r="C74" s="42" t="s">
        <v>2240</v>
      </c>
      <c r="D74" s="42">
        <v>0.0</v>
      </c>
      <c r="E74" s="42" t="s">
        <v>100</v>
      </c>
      <c r="F74" s="54" t="s">
        <v>91</v>
      </c>
      <c r="G74" s="42" t="s">
        <v>100</v>
      </c>
      <c r="H74" s="42" t="s">
        <v>100</v>
      </c>
      <c r="I74" s="42" t="s">
        <v>100</v>
      </c>
    </row>
    <row r="75" ht="15.75" customHeight="1">
      <c r="A75" s="42">
        <v>74.0</v>
      </c>
      <c r="B75" s="42" t="s">
        <v>2169</v>
      </c>
      <c r="C75" s="42" t="s">
        <v>2239</v>
      </c>
      <c r="D75" s="42">
        <v>39.0</v>
      </c>
      <c r="E75" s="42" t="s">
        <v>100</v>
      </c>
      <c r="F75" s="54" t="s">
        <v>91</v>
      </c>
      <c r="G75" s="42" t="s">
        <v>100</v>
      </c>
      <c r="H75" s="42" t="s">
        <v>100</v>
      </c>
      <c r="I75" s="42" t="s">
        <v>100</v>
      </c>
    </row>
    <row r="76" ht="15.75" customHeight="1">
      <c r="A76" s="42">
        <v>75.0</v>
      </c>
      <c r="B76" s="42" t="s">
        <v>2109</v>
      </c>
      <c r="C76" s="42" t="s">
        <v>2240</v>
      </c>
      <c r="D76" s="42">
        <v>12.0</v>
      </c>
      <c r="E76" s="42" t="s">
        <v>100</v>
      </c>
      <c r="F76" s="54" t="s">
        <v>91</v>
      </c>
      <c r="G76" s="42" t="s">
        <v>100</v>
      </c>
      <c r="H76" s="42" t="s">
        <v>91</v>
      </c>
      <c r="I76" s="42" t="s">
        <v>100</v>
      </c>
    </row>
    <row r="77" ht="15.75" customHeight="1">
      <c r="A77" s="42">
        <v>76.0</v>
      </c>
      <c r="B77" s="42" t="s">
        <v>2125</v>
      </c>
      <c r="C77" s="42" t="s">
        <v>2240</v>
      </c>
      <c r="D77" s="42">
        <v>2998.0</v>
      </c>
      <c r="E77" s="42" t="s">
        <v>100</v>
      </c>
      <c r="F77" s="54" t="s">
        <v>91</v>
      </c>
      <c r="G77" s="42" t="s">
        <v>100</v>
      </c>
      <c r="H77" s="42" t="s">
        <v>91</v>
      </c>
      <c r="I77" s="42" t="s">
        <v>100</v>
      </c>
    </row>
    <row r="78" ht="15.75" customHeight="1">
      <c r="A78" s="42">
        <v>77.0</v>
      </c>
      <c r="B78" s="42" t="s">
        <v>2122</v>
      </c>
      <c r="C78" s="42" t="s">
        <v>2240</v>
      </c>
      <c r="D78" s="42">
        <v>159.0</v>
      </c>
      <c r="E78" s="42" t="s">
        <v>100</v>
      </c>
      <c r="F78" s="54" t="s">
        <v>91</v>
      </c>
      <c r="G78" s="42" t="s">
        <v>100</v>
      </c>
      <c r="H78" s="42" t="s">
        <v>100</v>
      </c>
      <c r="I78" s="42" t="s">
        <v>100</v>
      </c>
    </row>
    <row r="79" ht="15.75" customHeight="1">
      <c r="A79" s="42">
        <v>78.0</v>
      </c>
      <c r="B79" s="42" t="s">
        <v>2120</v>
      </c>
      <c r="C79" s="42" t="s">
        <v>2240</v>
      </c>
      <c r="D79" s="42">
        <v>31.0</v>
      </c>
      <c r="E79" s="42" t="s">
        <v>100</v>
      </c>
      <c r="F79" s="54" t="s">
        <v>91</v>
      </c>
      <c r="G79" s="42" t="s">
        <v>100</v>
      </c>
      <c r="H79" s="42" t="s">
        <v>100</v>
      </c>
      <c r="I79" s="42" t="s">
        <v>100</v>
      </c>
    </row>
    <row r="80" ht="15.75" customHeight="1">
      <c r="A80" s="42">
        <v>79.0</v>
      </c>
      <c r="B80" s="42" t="s">
        <v>2159</v>
      </c>
      <c r="C80" s="42" t="s">
        <v>2240</v>
      </c>
      <c r="D80" s="42">
        <v>3.0</v>
      </c>
      <c r="E80" s="42" t="s">
        <v>100</v>
      </c>
      <c r="F80" s="54" t="s">
        <v>91</v>
      </c>
      <c r="G80" s="42" t="s">
        <v>100</v>
      </c>
      <c r="H80" s="42" t="s">
        <v>100</v>
      </c>
      <c r="I80" s="42" t="s">
        <v>100</v>
      </c>
    </row>
    <row r="81" ht="15.75" customHeight="1">
      <c r="A81" s="42">
        <v>80.0</v>
      </c>
      <c r="B81" s="42" t="s">
        <v>2174</v>
      </c>
      <c r="C81" s="42" t="s">
        <v>2239</v>
      </c>
      <c r="D81" s="42">
        <v>44.0</v>
      </c>
      <c r="E81" s="42" t="s">
        <v>100</v>
      </c>
      <c r="F81" s="54" t="s">
        <v>91</v>
      </c>
      <c r="G81" s="42" t="s">
        <v>100</v>
      </c>
      <c r="H81" s="42" t="s">
        <v>91</v>
      </c>
      <c r="I81" s="42" t="s">
        <v>100</v>
      </c>
    </row>
    <row r="82" ht="15.75" customHeight="1">
      <c r="A82" s="42">
        <v>81.0</v>
      </c>
      <c r="B82" s="42" t="s">
        <v>2166</v>
      </c>
      <c r="C82" s="42" t="s">
        <v>2239</v>
      </c>
      <c r="D82" s="42">
        <v>46.0</v>
      </c>
      <c r="E82" s="42" t="s">
        <v>100</v>
      </c>
      <c r="F82" s="54" t="s">
        <v>91</v>
      </c>
      <c r="G82" s="42" t="s">
        <v>100</v>
      </c>
      <c r="H82" s="42" t="s">
        <v>91</v>
      </c>
      <c r="I82" s="42" t="s">
        <v>100</v>
      </c>
    </row>
    <row r="83" ht="15.75" customHeight="1">
      <c r="A83" s="42">
        <v>82.0</v>
      </c>
      <c r="B83" s="42" t="s">
        <v>2096</v>
      </c>
      <c r="C83" s="42" t="s">
        <v>2240</v>
      </c>
      <c r="D83" s="42">
        <v>51.0</v>
      </c>
      <c r="E83" s="42" t="s">
        <v>100</v>
      </c>
      <c r="F83" s="54" t="s">
        <v>91</v>
      </c>
      <c r="G83" s="42" t="s">
        <v>100</v>
      </c>
      <c r="H83" s="42" t="s">
        <v>91</v>
      </c>
      <c r="I83" s="42" t="s">
        <v>100</v>
      </c>
    </row>
    <row r="84" ht="15.75" customHeight="1">
      <c r="A84" s="42">
        <v>83.0</v>
      </c>
      <c r="B84" s="42" t="s">
        <v>2101</v>
      </c>
      <c r="C84" s="42" t="s">
        <v>2240</v>
      </c>
      <c r="D84" s="42">
        <v>396.0</v>
      </c>
      <c r="E84" s="42" t="s">
        <v>100</v>
      </c>
      <c r="F84" s="54" t="s">
        <v>91</v>
      </c>
      <c r="G84" s="42" t="s">
        <v>100</v>
      </c>
      <c r="H84" s="42" t="s">
        <v>91</v>
      </c>
      <c r="I84" s="42" t="s">
        <v>100</v>
      </c>
    </row>
    <row r="85" ht="15.75" customHeight="1">
      <c r="A85" s="42">
        <v>84.0</v>
      </c>
      <c r="B85" s="42" t="s">
        <v>2118</v>
      </c>
      <c r="C85" s="42" t="s">
        <v>2240</v>
      </c>
      <c r="D85" s="42">
        <v>100.0</v>
      </c>
      <c r="E85" s="42" t="s">
        <v>100</v>
      </c>
      <c r="F85" s="54" t="s">
        <v>91</v>
      </c>
      <c r="G85" s="42" t="s">
        <v>100</v>
      </c>
      <c r="H85" s="42" t="s">
        <v>100</v>
      </c>
      <c r="I85" s="42" t="s">
        <v>100</v>
      </c>
    </row>
    <row r="86" ht="15.75" customHeight="1">
      <c r="A86" s="42">
        <v>85.0</v>
      </c>
      <c r="B86" s="42" t="s">
        <v>2178</v>
      </c>
      <c r="C86" s="42" t="s">
        <v>2239</v>
      </c>
      <c r="D86" s="42">
        <v>18.0</v>
      </c>
      <c r="E86" s="42" t="s">
        <v>100</v>
      </c>
      <c r="F86" s="54" t="s">
        <v>91</v>
      </c>
      <c r="G86" s="42" t="s">
        <v>91</v>
      </c>
      <c r="H86" s="42" t="s">
        <v>91</v>
      </c>
      <c r="I86" s="42" t="s">
        <v>100</v>
      </c>
    </row>
    <row r="87" ht="15.75" customHeight="1">
      <c r="A87" s="42">
        <v>86.0</v>
      </c>
      <c r="B87" s="42" t="s">
        <v>2189</v>
      </c>
      <c r="C87" s="42" t="s">
        <v>2239</v>
      </c>
      <c r="D87" s="42">
        <v>33.0</v>
      </c>
      <c r="E87" s="50" t="s">
        <v>91</v>
      </c>
      <c r="F87" s="42" t="s">
        <v>100</v>
      </c>
      <c r="G87" s="42" t="s">
        <v>100</v>
      </c>
      <c r="H87" s="42" t="s">
        <v>91</v>
      </c>
      <c r="I87" s="42" t="s">
        <v>100</v>
      </c>
    </row>
    <row r="88" ht="15.75" customHeight="1">
      <c r="A88" s="42">
        <v>87.0</v>
      </c>
      <c r="B88" s="42" t="s">
        <v>2134</v>
      </c>
      <c r="C88" s="42" t="s">
        <v>2240</v>
      </c>
      <c r="D88" s="42">
        <v>13.0</v>
      </c>
      <c r="E88" s="50" t="s">
        <v>91</v>
      </c>
      <c r="F88" s="42" t="s">
        <v>100</v>
      </c>
      <c r="G88" s="42" t="s">
        <v>100</v>
      </c>
      <c r="H88" s="42" t="s">
        <v>91</v>
      </c>
      <c r="I88" s="42" t="s">
        <v>100</v>
      </c>
    </row>
    <row r="89" ht="15.75" customHeight="1">
      <c r="A89" s="42">
        <v>88.0</v>
      </c>
      <c r="B89" s="42" t="s">
        <v>2182</v>
      </c>
      <c r="C89" s="42" t="s">
        <v>2239</v>
      </c>
      <c r="D89" s="42">
        <v>2.0</v>
      </c>
      <c r="E89" s="50" t="s">
        <v>91</v>
      </c>
      <c r="F89" s="42" t="s">
        <v>100</v>
      </c>
      <c r="G89" s="42" t="s">
        <v>100</v>
      </c>
      <c r="H89" s="42" t="s">
        <v>91</v>
      </c>
      <c r="I89" s="54" t="s">
        <v>91</v>
      </c>
    </row>
    <row r="90" ht="15.75" customHeight="1">
      <c r="A90" s="42">
        <v>89.0</v>
      </c>
      <c r="B90" s="42" t="s">
        <v>2192</v>
      </c>
      <c r="C90" s="42" t="s">
        <v>2239</v>
      </c>
      <c r="D90" s="42">
        <v>2.0</v>
      </c>
      <c r="E90" s="50" t="s">
        <v>91</v>
      </c>
      <c r="F90" s="42" t="s">
        <v>100</v>
      </c>
      <c r="G90" s="42" t="s">
        <v>100</v>
      </c>
      <c r="H90" s="42" t="s">
        <v>91</v>
      </c>
      <c r="I90" s="42" t="s">
        <v>100</v>
      </c>
    </row>
    <row r="91" ht="15.75" customHeight="1">
      <c r="A91" s="42">
        <v>90.0</v>
      </c>
      <c r="B91" s="42" t="s">
        <v>2193</v>
      </c>
      <c r="C91" s="42" t="s">
        <v>2239</v>
      </c>
      <c r="D91" s="42">
        <v>12.0</v>
      </c>
      <c r="E91" s="50" t="s">
        <v>91</v>
      </c>
      <c r="F91" s="42" t="s">
        <v>100</v>
      </c>
      <c r="G91" s="42" t="s">
        <v>100</v>
      </c>
      <c r="H91" s="42" t="s">
        <v>91</v>
      </c>
      <c r="I91" s="54" t="s">
        <v>91</v>
      </c>
    </row>
    <row r="92" ht="15.75" customHeight="1">
      <c r="A92" s="42">
        <v>91.0</v>
      </c>
      <c r="B92" s="42" t="s">
        <v>2198</v>
      </c>
      <c r="C92" s="42" t="s">
        <v>2239</v>
      </c>
      <c r="D92" s="42">
        <v>2.0</v>
      </c>
      <c r="E92" s="50" t="s">
        <v>91</v>
      </c>
      <c r="F92" s="42" t="s">
        <v>100</v>
      </c>
      <c r="G92" s="42" t="s">
        <v>100</v>
      </c>
      <c r="H92" s="42" t="s">
        <v>91</v>
      </c>
      <c r="I92" s="42" t="s">
        <v>100</v>
      </c>
    </row>
    <row r="93" ht="15.75" customHeight="1">
      <c r="A93" s="42">
        <v>92.0</v>
      </c>
      <c r="B93" s="42" t="s">
        <v>2176</v>
      </c>
      <c r="C93" s="42" t="s">
        <v>2239</v>
      </c>
      <c r="D93" s="42">
        <v>2.0</v>
      </c>
      <c r="E93" s="50" t="s">
        <v>91</v>
      </c>
      <c r="F93" s="42" t="s">
        <v>100</v>
      </c>
      <c r="G93" s="42" t="s">
        <v>100</v>
      </c>
      <c r="H93" s="42" t="s">
        <v>100</v>
      </c>
      <c r="I93" s="42" t="s">
        <v>100</v>
      </c>
    </row>
    <row r="94" ht="15.75" customHeight="1">
      <c r="A94" s="42">
        <v>93.0</v>
      </c>
      <c r="B94" s="42" t="s">
        <v>2170</v>
      </c>
      <c r="C94" s="42" t="s">
        <v>2239</v>
      </c>
      <c r="D94" s="42">
        <v>22.0</v>
      </c>
      <c r="E94" s="50" t="s">
        <v>91</v>
      </c>
      <c r="F94" s="42" t="s">
        <v>100</v>
      </c>
      <c r="G94" s="42" t="s">
        <v>100</v>
      </c>
      <c r="H94" s="42" t="s">
        <v>91</v>
      </c>
      <c r="I94" s="42" t="s">
        <v>100</v>
      </c>
    </row>
    <row r="95" ht="15.75" customHeight="1">
      <c r="A95" s="42">
        <v>94.0</v>
      </c>
      <c r="B95" s="42" t="s">
        <v>2107</v>
      </c>
      <c r="C95" s="42" t="s">
        <v>2240</v>
      </c>
      <c r="D95" s="42">
        <v>0.0</v>
      </c>
      <c r="E95" s="42" t="s">
        <v>100</v>
      </c>
      <c r="F95" s="42" t="s">
        <v>100</v>
      </c>
      <c r="G95" s="42" t="s">
        <v>100</v>
      </c>
      <c r="H95" s="42" t="s">
        <v>100</v>
      </c>
      <c r="I95" s="42" t="s">
        <v>100</v>
      </c>
    </row>
    <row r="96" ht="15.75" customHeight="1">
      <c r="A96" s="42">
        <v>95.0</v>
      </c>
      <c r="B96" s="42" t="s">
        <v>2168</v>
      </c>
      <c r="C96" s="42" t="s">
        <v>2239</v>
      </c>
      <c r="D96" s="42">
        <v>7.0</v>
      </c>
      <c r="E96" s="42" t="s">
        <v>100</v>
      </c>
      <c r="F96" s="42" t="s">
        <v>100</v>
      </c>
      <c r="G96" s="42" t="s">
        <v>100</v>
      </c>
      <c r="H96" s="42" t="s">
        <v>100</v>
      </c>
      <c r="I96" s="42" t="s">
        <v>100</v>
      </c>
    </row>
    <row r="97" ht="15.75" customHeight="1">
      <c r="A97" s="42">
        <v>96.0</v>
      </c>
      <c r="B97" s="42" t="s">
        <v>2162</v>
      </c>
      <c r="C97" s="42" t="s">
        <v>2239</v>
      </c>
      <c r="D97" s="42">
        <v>110.0</v>
      </c>
      <c r="E97" s="50" t="s">
        <v>91</v>
      </c>
      <c r="F97" s="42" t="s">
        <v>100</v>
      </c>
      <c r="G97" s="42" t="s">
        <v>100</v>
      </c>
      <c r="H97" s="42" t="s">
        <v>91</v>
      </c>
      <c r="I97" s="42" t="s">
        <v>100</v>
      </c>
    </row>
    <row r="98" ht="15.75" customHeight="1"/>
    <row r="99" ht="15.75" customHeight="1">
      <c r="B99" s="59" t="s">
        <v>2241</v>
      </c>
    </row>
    <row r="100" ht="15.75" customHeight="1"/>
    <row r="101" ht="15.75" customHeight="1">
      <c r="B101" s="60" t="s">
        <v>2242</v>
      </c>
    </row>
    <row r="102" ht="15.75" customHeight="1">
      <c r="B102" s="32" t="s">
        <v>2243</v>
      </c>
      <c r="C102" s="32" t="s">
        <v>2244</v>
      </c>
      <c r="D102" s="61" t="s">
        <v>2245</v>
      </c>
    </row>
    <row r="103" ht="15.75" customHeight="1">
      <c r="B103" s="32" t="s">
        <v>2246</v>
      </c>
      <c r="C103" s="32" t="s">
        <v>2244</v>
      </c>
      <c r="D103" s="61" t="s">
        <v>2247</v>
      </c>
    </row>
    <row r="104" ht="15.75" customHeight="1">
      <c r="B104" s="32" t="s">
        <v>2248</v>
      </c>
      <c r="C104" s="32" t="s">
        <v>2244</v>
      </c>
      <c r="D104" s="61" t="s">
        <v>2249</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
    <col customWidth="1" min="2" max="3" width="14.0"/>
    <col customWidth="1" min="4" max="4" width="26.0"/>
    <col customWidth="1" min="5" max="5" width="30.0"/>
    <col customWidth="1" min="6" max="6" width="20.0"/>
    <col customWidth="1" min="7" max="7" width="9.0"/>
    <col customWidth="1" min="8" max="8" width="20.0"/>
    <col customWidth="1" min="9" max="9" width="44.0"/>
  </cols>
  <sheetData>
    <row r="1" ht="25.5" customHeight="1">
      <c r="A1" s="36" t="s">
        <v>2091</v>
      </c>
      <c r="B1" s="36" t="s">
        <v>51</v>
      </c>
      <c r="C1" s="36" t="s">
        <v>1765</v>
      </c>
      <c r="D1" s="36" t="s">
        <v>2250</v>
      </c>
      <c r="E1" s="36" t="s">
        <v>2251</v>
      </c>
      <c r="F1" s="36" t="s">
        <v>2252</v>
      </c>
      <c r="G1" s="36" t="s">
        <v>2253</v>
      </c>
      <c r="H1" s="36" t="s">
        <v>2254</v>
      </c>
      <c r="I1" s="36" t="s">
        <v>2255</v>
      </c>
    </row>
    <row r="2">
      <c r="A2" s="42" t="s">
        <v>2256</v>
      </c>
      <c r="B2" s="42" t="s">
        <v>2257</v>
      </c>
      <c r="C2" s="42" t="s">
        <v>2258</v>
      </c>
      <c r="D2" s="42" t="s">
        <v>2259</v>
      </c>
      <c r="E2" s="42" t="s">
        <v>2260</v>
      </c>
      <c r="F2" s="42" t="s">
        <v>2261</v>
      </c>
      <c r="G2" s="42" t="s">
        <v>1384</v>
      </c>
      <c r="H2" s="58" t="s">
        <v>2262</v>
      </c>
      <c r="I2" s="42" t="s">
        <v>2263</v>
      </c>
    </row>
    <row r="3">
      <c r="A3" s="42" t="s">
        <v>2264</v>
      </c>
      <c r="B3" s="42" t="s">
        <v>2265</v>
      </c>
      <c r="C3" s="42" t="s">
        <v>2258</v>
      </c>
      <c r="D3" s="42" t="s">
        <v>2266</v>
      </c>
      <c r="E3" s="42" t="s">
        <v>2267</v>
      </c>
      <c r="F3" s="42" t="s">
        <v>2268</v>
      </c>
      <c r="G3" s="42" t="s">
        <v>1384</v>
      </c>
      <c r="H3" s="58" t="s">
        <v>2269</v>
      </c>
      <c r="I3" s="42" t="s">
        <v>2270</v>
      </c>
    </row>
    <row r="4">
      <c r="A4" s="42" t="s">
        <v>2271</v>
      </c>
      <c r="B4" s="42" t="s">
        <v>2272</v>
      </c>
      <c r="C4" s="42" t="s">
        <v>2258</v>
      </c>
      <c r="D4" s="42" t="s">
        <v>2273</v>
      </c>
      <c r="E4" s="42" t="s">
        <v>2274</v>
      </c>
      <c r="F4" s="42" t="s">
        <v>2268</v>
      </c>
      <c r="G4" s="42" t="s">
        <v>1384</v>
      </c>
      <c r="H4" s="58" t="s">
        <v>2269</v>
      </c>
      <c r="I4" s="42" t="s">
        <v>2270</v>
      </c>
    </row>
    <row r="5">
      <c r="A5" s="42" t="s">
        <v>2275</v>
      </c>
      <c r="B5" s="42" t="s">
        <v>2276</v>
      </c>
      <c r="C5" s="42" t="s">
        <v>2258</v>
      </c>
      <c r="D5" s="42" t="s">
        <v>2277</v>
      </c>
      <c r="E5" s="42" t="s">
        <v>2278</v>
      </c>
      <c r="F5" s="42" t="s">
        <v>2268</v>
      </c>
      <c r="G5" s="42" t="s">
        <v>1375</v>
      </c>
      <c r="H5" s="58" t="s">
        <v>2269</v>
      </c>
      <c r="I5" s="42" t="s">
        <v>2270</v>
      </c>
    </row>
    <row r="6">
      <c r="A6" s="42" t="s">
        <v>2279</v>
      </c>
      <c r="B6" s="42" t="s">
        <v>2280</v>
      </c>
      <c r="C6" s="42" t="s">
        <v>1752</v>
      </c>
      <c r="D6" s="42" t="s">
        <v>2281</v>
      </c>
      <c r="E6" s="42" t="s">
        <v>2282</v>
      </c>
      <c r="F6" s="42" t="s">
        <v>2283</v>
      </c>
      <c r="G6" s="42" t="s">
        <v>1384</v>
      </c>
      <c r="H6" s="57" t="s">
        <v>2284</v>
      </c>
      <c r="I6" s="42" t="s">
        <v>2285</v>
      </c>
    </row>
    <row r="7">
      <c r="A7" s="42" t="s">
        <v>2286</v>
      </c>
      <c r="B7" s="42" t="s">
        <v>2287</v>
      </c>
      <c r="C7" s="42" t="s">
        <v>1747</v>
      </c>
      <c r="D7" s="42" t="s">
        <v>2288</v>
      </c>
      <c r="E7" s="42" t="s">
        <v>2289</v>
      </c>
      <c r="F7" s="42" t="s">
        <v>2290</v>
      </c>
      <c r="G7" s="42" t="s">
        <v>1384</v>
      </c>
      <c r="H7" s="57" t="s">
        <v>2284</v>
      </c>
      <c r="I7" s="42" t="s">
        <v>2285</v>
      </c>
    </row>
    <row r="8">
      <c r="A8" s="42" t="s">
        <v>2291</v>
      </c>
      <c r="B8" s="42" t="s">
        <v>2292</v>
      </c>
      <c r="C8" s="42" t="s">
        <v>1747</v>
      </c>
      <c r="D8" s="42" t="s">
        <v>2293</v>
      </c>
      <c r="E8" s="42" t="s">
        <v>2294</v>
      </c>
      <c r="F8" s="42" t="s">
        <v>2290</v>
      </c>
      <c r="G8" s="42" t="s">
        <v>1384</v>
      </c>
      <c r="H8" s="57" t="s">
        <v>2284</v>
      </c>
      <c r="I8" s="42" t="s">
        <v>2285</v>
      </c>
    </row>
    <row r="9">
      <c r="A9" s="42" t="s">
        <v>2295</v>
      </c>
      <c r="B9" s="42" t="s">
        <v>2296</v>
      </c>
      <c r="C9" s="42" t="s">
        <v>1747</v>
      </c>
      <c r="D9" s="42" t="s">
        <v>2297</v>
      </c>
      <c r="E9" s="42" t="s">
        <v>2298</v>
      </c>
      <c r="F9" s="42" t="s">
        <v>2290</v>
      </c>
      <c r="G9" s="42" t="s">
        <v>1375</v>
      </c>
      <c r="H9" s="57" t="s">
        <v>2284</v>
      </c>
      <c r="I9" s="42" t="s">
        <v>2285</v>
      </c>
    </row>
    <row r="10">
      <c r="A10" s="42" t="s">
        <v>2299</v>
      </c>
      <c r="B10" s="42" t="s">
        <v>2300</v>
      </c>
      <c r="C10" s="42" t="s">
        <v>1747</v>
      </c>
      <c r="D10" s="42" t="s">
        <v>2301</v>
      </c>
      <c r="E10" s="42" t="s">
        <v>2302</v>
      </c>
      <c r="F10" s="42" t="s">
        <v>2290</v>
      </c>
      <c r="G10" s="42" t="s">
        <v>1375</v>
      </c>
      <c r="H10" s="57" t="s">
        <v>2284</v>
      </c>
      <c r="I10" s="42" t="s">
        <v>2285</v>
      </c>
    </row>
    <row r="11">
      <c r="A11" s="42" t="s">
        <v>2303</v>
      </c>
      <c r="B11" s="42" t="s">
        <v>2304</v>
      </c>
      <c r="C11" s="42" t="s">
        <v>1747</v>
      </c>
      <c r="D11" s="42" t="s">
        <v>2305</v>
      </c>
      <c r="E11" s="42" t="s">
        <v>2306</v>
      </c>
      <c r="F11" s="42" t="s">
        <v>2290</v>
      </c>
      <c r="G11" s="42" t="s">
        <v>1384</v>
      </c>
      <c r="H11" s="57" t="s">
        <v>2284</v>
      </c>
      <c r="I11" s="42" t="s">
        <v>2285</v>
      </c>
    </row>
    <row r="12">
      <c r="A12" s="42" t="s">
        <v>2307</v>
      </c>
      <c r="B12" s="42" t="s">
        <v>2308</v>
      </c>
      <c r="C12" s="42" t="s">
        <v>1747</v>
      </c>
      <c r="D12" s="42" t="s">
        <v>2309</v>
      </c>
      <c r="E12" s="42" t="s">
        <v>2310</v>
      </c>
      <c r="F12" s="42" t="s">
        <v>2290</v>
      </c>
      <c r="G12" s="42" t="s">
        <v>1375</v>
      </c>
      <c r="H12" s="57" t="s">
        <v>2284</v>
      </c>
      <c r="I12" s="42" t="s">
        <v>2285</v>
      </c>
    </row>
    <row r="13">
      <c r="A13" s="42" t="s">
        <v>2311</v>
      </c>
      <c r="B13" s="42" t="s">
        <v>2312</v>
      </c>
      <c r="C13" s="42" t="s">
        <v>1747</v>
      </c>
      <c r="D13" s="42" t="s">
        <v>2313</v>
      </c>
      <c r="E13" s="42" t="s">
        <v>2314</v>
      </c>
      <c r="F13" s="42" t="s">
        <v>2290</v>
      </c>
      <c r="G13" s="42" t="s">
        <v>1375</v>
      </c>
      <c r="H13" s="57" t="s">
        <v>2284</v>
      </c>
      <c r="I13" s="42" t="s">
        <v>2285</v>
      </c>
    </row>
    <row r="14">
      <c r="A14" s="42" t="s">
        <v>2315</v>
      </c>
      <c r="B14" s="42" t="s">
        <v>2316</v>
      </c>
      <c r="C14" s="42" t="s">
        <v>1747</v>
      </c>
      <c r="D14" s="42" t="s">
        <v>2317</v>
      </c>
      <c r="E14" s="42" t="s">
        <v>2318</v>
      </c>
      <c r="F14" s="42" t="s">
        <v>2290</v>
      </c>
      <c r="G14" s="42" t="s">
        <v>1375</v>
      </c>
      <c r="H14" s="57" t="s">
        <v>2284</v>
      </c>
      <c r="I14" s="42" t="s">
        <v>2285</v>
      </c>
    </row>
    <row r="15">
      <c r="A15" s="42" t="s">
        <v>2319</v>
      </c>
      <c r="B15" s="42" t="s">
        <v>2320</v>
      </c>
      <c r="C15" s="42" t="s">
        <v>1747</v>
      </c>
      <c r="D15" s="42" t="s">
        <v>2321</v>
      </c>
      <c r="E15" s="42" t="s">
        <v>2322</v>
      </c>
      <c r="F15" s="42" t="s">
        <v>2290</v>
      </c>
      <c r="G15" s="42" t="s">
        <v>1384</v>
      </c>
      <c r="H15" s="57" t="s">
        <v>2284</v>
      </c>
      <c r="I15" s="42" t="s">
        <v>2285</v>
      </c>
    </row>
    <row r="16">
      <c r="A16" s="42" t="s">
        <v>2323</v>
      </c>
      <c r="B16" s="42" t="s">
        <v>2324</v>
      </c>
      <c r="C16" s="42" t="s">
        <v>1747</v>
      </c>
      <c r="D16" s="42" t="s">
        <v>2325</v>
      </c>
      <c r="E16" s="42" t="s">
        <v>2326</v>
      </c>
      <c r="F16" s="42" t="s">
        <v>2290</v>
      </c>
      <c r="G16" s="42" t="s">
        <v>1384</v>
      </c>
      <c r="H16" s="57" t="s">
        <v>2284</v>
      </c>
      <c r="I16" s="42" t="s">
        <v>2285</v>
      </c>
    </row>
    <row r="17">
      <c r="A17" s="42" t="s">
        <v>2327</v>
      </c>
      <c r="B17" s="42" t="s">
        <v>2328</v>
      </c>
      <c r="C17" s="42" t="s">
        <v>1747</v>
      </c>
      <c r="D17" s="42" t="s">
        <v>2329</v>
      </c>
      <c r="E17" s="42" t="s">
        <v>2330</v>
      </c>
      <c r="F17" s="42" t="s">
        <v>2290</v>
      </c>
      <c r="G17" s="42" t="s">
        <v>1384</v>
      </c>
      <c r="H17" s="57" t="s">
        <v>2284</v>
      </c>
      <c r="I17" s="42" t="s">
        <v>2285</v>
      </c>
    </row>
    <row r="18">
      <c r="A18" s="42" t="s">
        <v>2331</v>
      </c>
      <c r="B18" s="42" t="s">
        <v>2332</v>
      </c>
      <c r="C18" s="42" t="s">
        <v>1747</v>
      </c>
      <c r="D18" s="42" t="s">
        <v>2333</v>
      </c>
      <c r="E18" s="42" t="s">
        <v>2334</v>
      </c>
      <c r="F18" s="42" t="s">
        <v>2290</v>
      </c>
      <c r="G18" s="42" t="s">
        <v>1384</v>
      </c>
      <c r="H18" s="57" t="s">
        <v>2284</v>
      </c>
      <c r="I18" s="42" t="s">
        <v>2285</v>
      </c>
    </row>
    <row r="19">
      <c r="A19" s="42" t="s">
        <v>2335</v>
      </c>
      <c r="B19" s="42" t="s">
        <v>2336</v>
      </c>
      <c r="C19" s="42" t="s">
        <v>1747</v>
      </c>
      <c r="D19" s="42" t="s">
        <v>2337</v>
      </c>
      <c r="E19" s="42" t="s">
        <v>2338</v>
      </c>
      <c r="F19" s="42" t="s">
        <v>2290</v>
      </c>
      <c r="G19" s="42" t="s">
        <v>1375</v>
      </c>
      <c r="H19" s="57" t="s">
        <v>2284</v>
      </c>
      <c r="I19" s="42" t="s">
        <v>2285</v>
      </c>
    </row>
    <row r="20">
      <c r="A20" s="42" t="s">
        <v>2339</v>
      </c>
      <c r="B20" s="42" t="s">
        <v>2340</v>
      </c>
      <c r="C20" s="42" t="s">
        <v>1747</v>
      </c>
      <c r="D20" s="42" t="s">
        <v>2341</v>
      </c>
      <c r="E20" s="42" t="s">
        <v>2342</v>
      </c>
      <c r="F20" s="42" t="s">
        <v>2290</v>
      </c>
      <c r="G20" s="42" t="s">
        <v>1375</v>
      </c>
      <c r="H20" s="57" t="s">
        <v>2284</v>
      </c>
      <c r="I20" s="42" t="s">
        <v>2285</v>
      </c>
    </row>
    <row r="21" ht="15.75" customHeight="1">
      <c r="A21" s="42" t="s">
        <v>2343</v>
      </c>
      <c r="B21" s="42" t="s">
        <v>2344</v>
      </c>
      <c r="C21" s="42" t="s">
        <v>1747</v>
      </c>
      <c r="D21" s="42" t="s">
        <v>2345</v>
      </c>
      <c r="E21" s="42" t="s">
        <v>2346</v>
      </c>
      <c r="F21" s="42" t="s">
        <v>2290</v>
      </c>
      <c r="G21" s="42" t="s">
        <v>1384</v>
      </c>
      <c r="H21" s="57" t="s">
        <v>2284</v>
      </c>
      <c r="I21" s="42" t="s">
        <v>2285</v>
      </c>
    </row>
    <row r="22" ht="15.75" customHeight="1">
      <c r="A22" s="42" t="s">
        <v>2347</v>
      </c>
      <c r="B22" s="42" t="s">
        <v>2348</v>
      </c>
      <c r="C22" s="42" t="s">
        <v>1747</v>
      </c>
      <c r="D22" s="42" t="s">
        <v>2349</v>
      </c>
      <c r="E22" s="42" t="s">
        <v>2350</v>
      </c>
      <c r="F22" s="42" t="s">
        <v>2290</v>
      </c>
      <c r="G22" s="42" t="s">
        <v>1375</v>
      </c>
      <c r="H22" s="57" t="s">
        <v>2284</v>
      </c>
      <c r="I22" s="42" t="s">
        <v>2285</v>
      </c>
    </row>
    <row r="23" ht="15.75" customHeight="1">
      <c r="A23" s="42" t="s">
        <v>2351</v>
      </c>
      <c r="B23" s="42" t="s">
        <v>2352</v>
      </c>
      <c r="C23" s="42" t="s">
        <v>1747</v>
      </c>
      <c r="D23" s="42" t="s">
        <v>2353</v>
      </c>
      <c r="E23" s="42" t="s">
        <v>2354</v>
      </c>
      <c r="F23" s="42" t="s">
        <v>2290</v>
      </c>
      <c r="G23" s="42" t="s">
        <v>1375</v>
      </c>
      <c r="H23" s="57" t="s">
        <v>2284</v>
      </c>
      <c r="I23" s="42" t="s">
        <v>2285</v>
      </c>
    </row>
    <row r="24" ht="15.75" customHeight="1">
      <c r="A24" s="42" t="s">
        <v>2355</v>
      </c>
      <c r="B24" s="42" t="s">
        <v>2356</v>
      </c>
      <c r="C24" s="42" t="s">
        <v>1747</v>
      </c>
      <c r="D24" s="42" t="s">
        <v>2357</v>
      </c>
      <c r="E24" s="42" t="s">
        <v>2358</v>
      </c>
      <c r="F24" s="42" t="s">
        <v>2290</v>
      </c>
      <c r="G24" s="42" t="s">
        <v>1375</v>
      </c>
      <c r="H24" s="57" t="s">
        <v>2284</v>
      </c>
      <c r="I24" s="42" t="s">
        <v>2285</v>
      </c>
    </row>
    <row r="25" ht="15.75" customHeight="1">
      <c r="A25" s="42" t="s">
        <v>2359</v>
      </c>
      <c r="B25" s="42" t="s">
        <v>2360</v>
      </c>
      <c r="C25" s="42" t="s">
        <v>1747</v>
      </c>
      <c r="D25" s="42" t="s">
        <v>2361</v>
      </c>
      <c r="E25" s="42" t="s">
        <v>2362</v>
      </c>
      <c r="F25" s="42" t="s">
        <v>2290</v>
      </c>
      <c r="G25" s="42" t="s">
        <v>1375</v>
      </c>
      <c r="H25" s="57" t="s">
        <v>2284</v>
      </c>
      <c r="I25" s="42" t="s">
        <v>2285</v>
      </c>
    </row>
    <row r="26" ht="15.75" customHeight="1">
      <c r="A26" s="42" t="s">
        <v>2363</v>
      </c>
      <c r="B26" s="42" t="s">
        <v>2364</v>
      </c>
      <c r="C26" s="42" t="s">
        <v>1747</v>
      </c>
      <c r="D26" s="42" t="s">
        <v>2365</v>
      </c>
      <c r="E26" s="42" t="s">
        <v>2366</v>
      </c>
      <c r="F26" s="42" t="s">
        <v>2290</v>
      </c>
      <c r="G26" s="42" t="s">
        <v>1375</v>
      </c>
      <c r="H26" s="57" t="s">
        <v>2284</v>
      </c>
      <c r="I26" s="42" t="s">
        <v>2285</v>
      </c>
    </row>
    <row r="27" ht="15.75" customHeight="1">
      <c r="A27" s="42" t="s">
        <v>2367</v>
      </c>
      <c r="B27" s="42" t="s">
        <v>2368</v>
      </c>
      <c r="C27" s="42" t="s">
        <v>1747</v>
      </c>
      <c r="D27" s="42" t="s">
        <v>2369</v>
      </c>
      <c r="E27" s="42" t="s">
        <v>2370</v>
      </c>
      <c r="F27" s="42" t="s">
        <v>2290</v>
      </c>
      <c r="G27" s="42" t="s">
        <v>1384</v>
      </c>
      <c r="H27" s="57" t="s">
        <v>2284</v>
      </c>
      <c r="I27" s="42" t="s">
        <v>2285</v>
      </c>
    </row>
    <row r="28" ht="15.75" customHeight="1">
      <c r="A28" s="42" t="s">
        <v>2371</v>
      </c>
      <c r="B28" s="42" t="s">
        <v>2372</v>
      </c>
      <c r="C28" s="42" t="s">
        <v>1747</v>
      </c>
      <c r="D28" s="42" t="s">
        <v>2373</v>
      </c>
      <c r="E28" s="42" t="s">
        <v>2374</v>
      </c>
      <c r="F28" s="42" t="s">
        <v>2290</v>
      </c>
      <c r="G28" s="42" t="s">
        <v>1375</v>
      </c>
      <c r="H28" s="57" t="s">
        <v>2284</v>
      </c>
      <c r="I28" s="42" t="s">
        <v>2285</v>
      </c>
    </row>
    <row r="29" ht="15.75" customHeight="1">
      <c r="A29" s="42" t="s">
        <v>2375</v>
      </c>
      <c r="B29" s="42" t="s">
        <v>2376</v>
      </c>
      <c r="C29" s="42" t="s">
        <v>1747</v>
      </c>
      <c r="D29" s="42" t="s">
        <v>2377</v>
      </c>
      <c r="E29" s="42" t="s">
        <v>2378</v>
      </c>
      <c r="F29" s="42" t="s">
        <v>2290</v>
      </c>
      <c r="G29" s="42" t="s">
        <v>1375</v>
      </c>
      <c r="H29" s="58" t="s">
        <v>2262</v>
      </c>
      <c r="I29" s="42" t="s">
        <v>2379</v>
      </c>
    </row>
    <row r="30" ht="15.75" customHeight="1">
      <c r="A30" s="42" t="s">
        <v>2380</v>
      </c>
      <c r="B30" s="42" t="s">
        <v>2381</v>
      </c>
      <c r="C30" s="42" t="s">
        <v>1747</v>
      </c>
      <c r="D30" s="42" t="s">
        <v>2382</v>
      </c>
      <c r="E30" s="42" t="s">
        <v>2383</v>
      </c>
      <c r="F30" s="42" t="s">
        <v>2290</v>
      </c>
      <c r="G30" s="42" t="s">
        <v>1384</v>
      </c>
      <c r="H30" s="57" t="s">
        <v>2284</v>
      </c>
      <c r="I30" s="42" t="s">
        <v>2285</v>
      </c>
    </row>
    <row r="31" ht="15.75" customHeight="1">
      <c r="A31" s="42" t="s">
        <v>2384</v>
      </c>
      <c r="B31" s="42" t="s">
        <v>2385</v>
      </c>
      <c r="C31" s="42" t="s">
        <v>1747</v>
      </c>
      <c r="D31" s="42" t="s">
        <v>2349</v>
      </c>
      <c r="E31" s="42" t="s">
        <v>2350</v>
      </c>
      <c r="F31" s="42" t="s">
        <v>2290</v>
      </c>
      <c r="G31" s="42" t="s">
        <v>1375</v>
      </c>
      <c r="H31" s="57" t="s">
        <v>2284</v>
      </c>
      <c r="I31" s="42" t="s">
        <v>2285</v>
      </c>
    </row>
    <row r="32" ht="15.75" customHeight="1">
      <c r="A32" s="42" t="s">
        <v>2386</v>
      </c>
      <c r="B32" s="42" t="s">
        <v>2387</v>
      </c>
      <c r="C32" s="42" t="s">
        <v>1747</v>
      </c>
      <c r="D32" s="42" t="s">
        <v>2388</v>
      </c>
      <c r="E32" s="42" t="s">
        <v>2389</v>
      </c>
      <c r="F32" s="42" t="s">
        <v>2290</v>
      </c>
      <c r="G32" s="42" t="s">
        <v>1375</v>
      </c>
      <c r="H32" s="57" t="s">
        <v>2284</v>
      </c>
      <c r="I32" s="42" t="s">
        <v>2285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63.14"/>
    <col customWidth="1" min="3" max="3" width="41.86"/>
    <col customWidth="1" min="4" max="6" width="8.71"/>
  </cols>
  <sheetData>
    <row r="1">
      <c r="B1" s="62" t="s">
        <v>2390</v>
      </c>
      <c r="C1" s="19"/>
    </row>
    <row r="2">
      <c r="B2" s="63" t="s">
        <v>2391</v>
      </c>
    </row>
    <row r="3">
      <c r="B3" s="64"/>
    </row>
    <row r="4">
      <c r="B4" s="65" t="s">
        <v>2392</v>
      </c>
    </row>
    <row r="5">
      <c r="B5" s="66" t="s">
        <v>2393</v>
      </c>
      <c r="C5" s="67" t="s">
        <v>2394</v>
      </c>
    </row>
    <row r="6">
      <c r="B6" s="64" t="s">
        <v>2395</v>
      </c>
      <c r="C6" s="67" t="s">
        <v>2396</v>
      </c>
    </row>
    <row r="7">
      <c r="B7" s="64" t="s">
        <v>2397</v>
      </c>
      <c r="C7" s="67" t="s">
        <v>2398</v>
      </c>
    </row>
    <row r="8">
      <c r="B8" s="64" t="s">
        <v>2399</v>
      </c>
      <c r="C8" s="67" t="s">
        <v>2400</v>
      </c>
    </row>
    <row r="9">
      <c r="B9" s="64" t="s">
        <v>2401</v>
      </c>
      <c r="C9" s="67" t="s">
        <v>2402</v>
      </c>
    </row>
    <row r="10">
      <c r="B10" s="64" t="s">
        <v>2403</v>
      </c>
      <c r="C10" s="67" t="s">
        <v>2404</v>
      </c>
    </row>
    <row r="11">
      <c r="B11" s="64"/>
    </row>
    <row r="12">
      <c r="B12" s="65" t="s">
        <v>2405</v>
      </c>
    </row>
    <row r="13">
      <c r="B13" s="68" t="s">
        <v>2406</v>
      </c>
      <c r="C13" s="69" t="s">
        <v>2407</v>
      </c>
    </row>
    <row r="14">
      <c r="B14" s="68" t="s">
        <v>2408</v>
      </c>
      <c r="C14" s="69" t="s">
        <v>2409</v>
      </c>
    </row>
    <row r="15">
      <c r="B15" s="64" t="s">
        <v>2410</v>
      </c>
      <c r="C15" s="67" t="s">
        <v>2411</v>
      </c>
    </row>
    <row r="16">
      <c r="B16" s="64"/>
    </row>
    <row r="17">
      <c r="B17" s="65" t="s">
        <v>2412</v>
      </c>
    </row>
    <row r="18">
      <c r="B18" s="70" t="s">
        <v>2413</v>
      </c>
    </row>
    <row r="19">
      <c r="B19" s="64"/>
    </row>
    <row r="20">
      <c r="B20" s="65" t="s">
        <v>2414</v>
      </c>
    </row>
    <row r="21" ht="15.75" customHeight="1">
      <c r="B21" s="68" t="s">
        <v>2415</v>
      </c>
      <c r="C21" s="69" t="s">
        <v>2416</v>
      </c>
    </row>
    <row r="22" ht="15.75" customHeight="1">
      <c r="B22" s="64" t="s">
        <v>2417</v>
      </c>
      <c r="C22" s="67" t="s">
        <v>2418</v>
      </c>
    </row>
    <row r="23" ht="15.75" customHeight="1">
      <c r="B23" s="68" t="s">
        <v>2419</v>
      </c>
      <c r="C23" s="69" t="s">
        <v>2286</v>
      </c>
    </row>
    <row r="24" ht="15.75" customHeight="1">
      <c r="B24" s="71" t="s">
        <v>2420</v>
      </c>
      <c r="C24" s="72" t="s">
        <v>2264</v>
      </c>
    </row>
    <row r="25" ht="15.75" customHeight="1">
      <c r="B25" s="64" t="s">
        <v>2421</v>
      </c>
      <c r="C25" s="67" t="s">
        <v>2422</v>
      </c>
    </row>
    <row r="26" ht="15.75" customHeight="1">
      <c r="B26" s="64" t="s">
        <v>2423</v>
      </c>
      <c r="C26" s="67" t="s">
        <v>2424</v>
      </c>
    </row>
    <row r="27" ht="15.75" customHeight="1">
      <c r="B27" s="64"/>
    </row>
    <row r="28" ht="15.75" customHeight="1">
      <c r="B28" s="73" t="s">
        <v>2425</v>
      </c>
    </row>
    <row r="29">
      <c r="B29" s="70" t="s">
        <v>2426</v>
      </c>
    </row>
    <row r="30">
      <c r="B30" s="70" t="s">
        <v>2427</v>
      </c>
    </row>
    <row r="31" ht="15.75" customHeight="1">
      <c r="B31" s="70" t="s">
        <v>2428</v>
      </c>
    </row>
    <row r="32" ht="15.75" customHeight="1">
      <c r="B32" s="64"/>
    </row>
    <row r="33" ht="15.75" customHeight="1">
      <c r="B33" s="65" t="s">
        <v>2429</v>
      </c>
    </row>
    <row r="34" ht="15.75" customHeight="1">
      <c r="B34" s="64" t="s">
        <v>2430</v>
      </c>
      <c r="C34" s="67" t="s">
        <v>2431</v>
      </c>
    </row>
    <row r="35" ht="15.75" customHeight="1">
      <c r="B35" s="64" t="s">
        <v>2432</v>
      </c>
      <c r="C35" s="67" t="s">
        <v>2433</v>
      </c>
    </row>
    <row r="36" ht="15.75" customHeight="1">
      <c r="B36" s="68" t="s">
        <v>2434</v>
      </c>
      <c r="C36" s="69" t="s">
        <v>2435</v>
      </c>
    </row>
    <row r="37" ht="15.75" customHeight="1">
      <c r="B37" s="68" t="s">
        <v>2436</v>
      </c>
      <c r="C37" s="69" t="s">
        <v>2437</v>
      </c>
    </row>
    <row r="38" ht="15.75" customHeight="1">
      <c r="B38" s="64"/>
    </row>
    <row r="39" ht="15.75" customHeight="1">
      <c r="B39" s="65" t="s">
        <v>2438</v>
      </c>
    </row>
    <row r="40" ht="15.75" customHeight="1">
      <c r="B40" s="64" t="s">
        <v>2439</v>
      </c>
      <c r="C40" s="67" t="s">
        <v>2440</v>
      </c>
    </row>
    <row r="41" ht="15.75" customHeight="1">
      <c r="B41" s="64" t="s">
        <v>2441</v>
      </c>
      <c r="C41" s="67" t="s">
        <v>2343</v>
      </c>
    </row>
    <row r="42" ht="15.75" customHeight="1">
      <c r="B42" s="64" t="s">
        <v>2442</v>
      </c>
      <c r="C42" s="67" t="s">
        <v>2443</v>
      </c>
    </row>
    <row r="43" ht="15.75" customHeight="1">
      <c r="B43" s="64" t="s">
        <v>2444</v>
      </c>
      <c r="C43" s="67" t="s">
        <v>2271</v>
      </c>
    </row>
    <row r="44" ht="15.75" customHeight="1">
      <c r="B44" s="64"/>
    </row>
    <row r="45" ht="15.75" customHeight="1">
      <c r="B45" s="74" t="s">
        <v>2445</v>
      </c>
      <c r="C45" s="19"/>
    </row>
    <row r="46">
      <c r="B46" s="70" t="s">
        <v>2446</v>
      </c>
    </row>
    <row r="47" ht="15.75" customHeight="1">
      <c r="B47" s="64"/>
    </row>
    <row r="48" ht="15.75" customHeight="1">
      <c r="B48" s="75" t="s">
        <v>2447</v>
      </c>
    </row>
    <row r="49" ht="15.75" customHeight="1">
      <c r="B49" s="68" t="s">
        <v>2448</v>
      </c>
      <c r="C49" s="69" t="s">
        <v>2449</v>
      </c>
    </row>
    <row r="50" ht="15.75" customHeight="1">
      <c r="B50" s="68" t="s">
        <v>2450</v>
      </c>
      <c r="C50" s="69" t="s">
        <v>2451</v>
      </c>
    </row>
    <row r="51" ht="15.75" customHeight="1">
      <c r="B51" s="68" t="s">
        <v>2452</v>
      </c>
      <c r="C51" s="69" t="s">
        <v>2367</v>
      </c>
    </row>
    <row r="52" ht="15.75" customHeight="1">
      <c r="B52" s="68" t="s">
        <v>2453</v>
      </c>
      <c r="C52" s="69" t="s">
        <v>2454</v>
      </c>
    </row>
    <row r="53" ht="15.75" customHeight="1">
      <c r="B53" s="68" t="s">
        <v>2455</v>
      </c>
      <c r="C53" s="69" t="s">
        <v>2271</v>
      </c>
    </row>
    <row r="54">
      <c r="B54" s="70" t="s">
        <v>2456</v>
      </c>
    </row>
    <row r="55">
      <c r="B55" s="70" t="s">
        <v>2457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54:C54"/>
    <mergeCell ref="B55:C55"/>
    <mergeCell ref="B1:C1"/>
    <mergeCell ref="B18:C18"/>
    <mergeCell ref="B29:C29"/>
    <mergeCell ref="B30:C30"/>
    <mergeCell ref="B31:C31"/>
    <mergeCell ref="B45:C45"/>
    <mergeCell ref="B46:C46"/>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30.0"/>
    <col customWidth="1" min="4" max="4" width="18.0"/>
    <col customWidth="1" min="5" max="5" width="22.0"/>
    <col customWidth="1" min="6" max="6" width="8.71"/>
  </cols>
  <sheetData>
    <row r="1">
      <c r="B1" s="76" t="s">
        <v>2458</v>
      </c>
    </row>
    <row r="3">
      <c r="B3" s="77" t="s">
        <v>2459</v>
      </c>
    </row>
    <row r="4">
      <c r="B4" s="78" t="s">
        <v>1783</v>
      </c>
      <c r="C4" s="78" t="s">
        <v>2460</v>
      </c>
      <c r="D4" s="78" t="s">
        <v>2461</v>
      </c>
      <c r="E4" s="78" t="s">
        <v>2462</v>
      </c>
    </row>
    <row r="5">
      <c r="B5" s="79" t="s">
        <v>2463</v>
      </c>
      <c r="C5" s="79" t="s">
        <v>2464</v>
      </c>
      <c r="D5" s="79" t="s">
        <v>2465</v>
      </c>
      <c r="E5" s="80" t="s">
        <v>2466</v>
      </c>
    </row>
    <row r="6">
      <c r="B6" s="79" t="s">
        <v>2467</v>
      </c>
      <c r="C6" s="79" t="s">
        <v>2468</v>
      </c>
      <c r="D6" s="79" t="s">
        <v>2465</v>
      </c>
      <c r="E6" s="80" t="s">
        <v>2466</v>
      </c>
    </row>
    <row r="7">
      <c r="B7" s="79" t="s">
        <v>2469</v>
      </c>
      <c r="C7" s="79" t="s">
        <v>2470</v>
      </c>
      <c r="D7" s="79" t="s">
        <v>2465</v>
      </c>
      <c r="E7" s="80" t="s">
        <v>2466</v>
      </c>
    </row>
    <row r="8">
      <c r="B8" s="79" t="s">
        <v>2471</v>
      </c>
      <c r="C8" s="79" t="s">
        <v>2472</v>
      </c>
      <c r="D8" s="79" t="s">
        <v>2465</v>
      </c>
      <c r="E8" s="80" t="s">
        <v>2466</v>
      </c>
    </row>
    <row r="9">
      <c r="B9" s="79" t="s">
        <v>2473</v>
      </c>
      <c r="C9" s="79" t="s">
        <v>2474</v>
      </c>
      <c r="D9" s="79" t="s">
        <v>2465</v>
      </c>
      <c r="E9" s="80" t="s">
        <v>2466</v>
      </c>
    </row>
    <row r="10">
      <c r="B10" s="79" t="s">
        <v>2475</v>
      </c>
      <c r="C10" s="79" t="s">
        <v>2476</v>
      </c>
      <c r="D10" s="79" t="s">
        <v>2477</v>
      </c>
      <c r="E10" s="79" t="s">
        <v>2478</v>
      </c>
    </row>
    <row r="11">
      <c r="B11" s="79" t="s">
        <v>2479</v>
      </c>
      <c r="C11" s="79" t="s">
        <v>2480</v>
      </c>
      <c r="D11" s="79" t="s">
        <v>2477</v>
      </c>
      <c r="E11" s="79" t="s">
        <v>2478</v>
      </c>
    </row>
    <row r="12">
      <c r="B12" s="79" t="s">
        <v>2481</v>
      </c>
      <c r="C12" s="79" t="s">
        <v>2482</v>
      </c>
      <c r="D12" s="79" t="s">
        <v>2477</v>
      </c>
      <c r="E12" s="79" t="s">
        <v>2478</v>
      </c>
    </row>
    <row r="13">
      <c r="B13" s="79" t="s">
        <v>2483</v>
      </c>
      <c r="C13" s="79" t="s">
        <v>2484</v>
      </c>
      <c r="D13" s="79" t="s">
        <v>2477</v>
      </c>
      <c r="E13" s="79" t="s">
        <v>2478</v>
      </c>
    </row>
    <row r="14">
      <c r="B14" s="79" t="s">
        <v>2485</v>
      </c>
      <c r="C14" s="79" t="s">
        <v>2486</v>
      </c>
      <c r="D14" s="79" t="s">
        <v>2477</v>
      </c>
      <c r="E14" s="79" t="s">
        <v>2478</v>
      </c>
    </row>
    <row r="15">
      <c r="B15" s="79" t="s">
        <v>2487</v>
      </c>
      <c r="C15" s="79" t="s">
        <v>2488</v>
      </c>
      <c r="D15" s="79" t="s">
        <v>2477</v>
      </c>
      <c r="E15" s="79" t="s">
        <v>2478</v>
      </c>
    </row>
    <row r="16">
      <c r="B16" s="79" t="s">
        <v>2489</v>
      </c>
      <c r="C16" s="79" t="s">
        <v>2490</v>
      </c>
      <c r="D16" s="79" t="s">
        <v>2477</v>
      </c>
      <c r="E16" s="79" t="s">
        <v>2478</v>
      </c>
    </row>
    <row r="17">
      <c r="B17" s="79" t="s">
        <v>2491</v>
      </c>
      <c r="C17" s="79" t="s">
        <v>2492</v>
      </c>
      <c r="D17" s="79" t="s">
        <v>2465</v>
      </c>
      <c r="E17" s="80" t="s">
        <v>2466</v>
      </c>
    </row>
    <row r="18">
      <c r="B18" s="79" t="s">
        <v>2493</v>
      </c>
      <c r="C18" s="79" t="s">
        <v>2494</v>
      </c>
      <c r="D18" s="79" t="s">
        <v>2477</v>
      </c>
      <c r="E18" s="79" t="s">
        <v>2478</v>
      </c>
    </row>
    <row r="19">
      <c r="B19" s="79" t="s">
        <v>2495</v>
      </c>
      <c r="C19" s="79" t="s">
        <v>2496</v>
      </c>
      <c r="D19" s="79" t="s">
        <v>2477</v>
      </c>
      <c r="E19" s="79" t="s">
        <v>2478</v>
      </c>
    </row>
    <row r="20">
      <c r="B20" s="79" t="s">
        <v>2497</v>
      </c>
      <c r="C20" s="79" t="s">
        <v>2498</v>
      </c>
      <c r="D20" s="79" t="s">
        <v>2499</v>
      </c>
      <c r="E20" s="81" t="s">
        <v>2500</v>
      </c>
    </row>
    <row r="21" ht="15.75" customHeight="1">
      <c r="B21" s="79" t="s">
        <v>2501</v>
      </c>
      <c r="C21" s="79" t="s">
        <v>2502</v>
      </c>
      <c r="D21" s="79" t="s">
        <v>2499</v>
      </c>
      <c r="E21" s="81" t="s">
        <v>2500</v>
      </c>
    </row>
    <row r="22" ht="15.75" customHeight="1"/>
    <row r="23" ht="15.75" customHeight="1">
      <c r="B23" s="77" t="s">
        <v>2503</v>
      </c>
    </row>
    <row r="24" ht="15.75" customHeight="1">
      <c r="B24" s="78" t="s">
        <v>2461</v>
      </c>
      <c r="C24" s="78" t="s">
        <v>2504</v>
      </c>
    </row>
    <row r="25" ht="15.75" customHeight="1">
      <c r="B25" s="32" t="s">
        <v>2477</v>
      </c>
      <c r="C25" s="32">
        <v>9.0</v>
      </c>
    </row>
    <row r="26" ht="15.75" customHeight="1">
      <c r="B26" s="32" t="s">
        <v>2465</v>
      </c>
      <c r="C26" s="32">
        <v>6.0</v>
      </c>
    </row>
    <row r="27" ht="15.75" customHeight="1">
      <c r="B27" s="32" t="s">
        <v>2499</v>
      </c>
      <c r="C27" s="32">
        <v>2.0</v>
      </c>
    </row>
    <row r="28" ht="15.75" customHeight="1">
      <c r="B28" s="32" t="s">
        <v>2505</v>
      </c>
      <c r="C28" s="32">
        <v>1.0</v>
      </c>
    </row>
    <row r="29" ht="15.75" customHeight="1"/>
    <row r="30" ht="15.75" customHeight="1">
      <c r="B30" s="77" t="s">
        <v>2506</v>
      </c>
    </row>
    <row r="31" ht="15.75" customHeight="1">
      <c r="B31" s="82" t="s">
        <v>2507</v>
      </c>
    </row>
    <row r="32" ht="15.75" customHeight="1"/>
    <row r="33" ht="15.75" customHeight="1">
      <c r="B33" s="77" t="s">
        <v>2508</v>
      </c>
    </row>
    <row r="34" ht="15.75" customHeight="1">
      <c r="B34" s="32" t="s">
        <v>2509</v>
      </c>
    </row>
    <row r="35" ht="15.75" customHeight="1">
      <c r="B35" s="32" t="s">
        <v>2510</v>
      </c>
    </row>
    <row r="36" ht="15.75" customHeight="1">
      <c r="B36" s="32" t="s">
        <v>2511</v>
      </c>
    </row>
    <row r="37" ht="15.75" customHeight="1">
      <c r="B37" s="32" t="s">
        <v>2512</v>
      </c>
    </row>
    <row r="38" ht="15.75" customHeight="1">
      <c r="B38" s="32" t="s">
        <v>2513</v>
      </c>
    </row>
    <row r="39" ht="15.75" customHeight="1"/>
    <row r="40" ht="15.75" customHeight="1">
      <c r="B40" s="77" t="s">
        <v>2514</v>
      </c>
    </row>
    <row r="41" ht="15.75" customHeight="1">
      <c r="B41" s="32" t="s">
        <v>2515</v>
      </c>
      <c r="C41" s="83" t="s">
        <v>2516</v>
      </c>
    </row>
    <row r="42" ht="15.75" customHeight="1">
      <c r="B42" s="32" t="s">
        <v>2517</v>
      </c>
      <c r="C42" s="83" t="s">
        <v>2518</v>
      </c>
    </row>
    <row r="43" ht="15.75" customHeight="1">
      <c r="B43" s="32" t="s">
        <v>2519</v>
      </c>
      <c r="C43" s="83" t="s">
        <v>2520</v>
      </c>
    </row>
    <row r="44" ht="15.75" customHeight="1"/>
    <row r="45" ht="15.75" customHeight="1">
      <c r="B45" s="77" t="s">
        <v>2521</v>
      </c>
    </row>
    <row r="46" ht="15.75" customHeight="1">
      <c r="B46" s="78" t="s">
        <v>2522</v>
      </c>
      <c r="C46" s="78" t="s">
        <v>2523</v>
      </c>
    </row>
    <row r="47" ht="15.75" customHeight="1">
      <c r="B47" s="32" t="s">
        <v>2524</v>
      </c>
      <c r="C47" s="32">
        <v>135.0</v>
      </c>
    </row>
    <row r="48" ht="15.75" customHeight="1">
      <c r="B48" s="32" t="s">
        <v>2478</v>
      </c>
      <c r="C48" s="32">
        <v>20.0</v>
      </c>
    </row>
    <row r="49" ht="15.75" customHeight="1">
      <c r="B49" s="32" t="s">
        <v>2525</v>
      </c>
      <c r="C49" s="32">
        <v>643.0</v>
      </c>
    </row>
    <row r="50" ht="15.75" customHeight="1"/>
    <row r="51" ht="15.75" customHeight="1">
      <c r="B51" s="77" t="s">
        <v>2526</v>
      </c>
    </row>
    <row r="52" ht="15.75" customHeight="1">
      <c r="B52" s="84" t="s">
        <v>2527</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4.0"/>
    <col customWidth="1" min="3" max="3" width="14.0"/>
    <col customWidth="1" min="4" max="6" width="8.71"/>
  </cols>
  <sheetData>
    <row r="1">
      <c r="B1" s="76" t="s">
        <v>2528</v>
      </c>
    </row>
    <row r="2">
      <c r="B2" s="85"/>
      <c r="C2" s="85"/>
    </row>
    <row r="3">
      <c r="B3" s="85" t="s">
        <v>2529</v>
      </c>
      <c r="C3" s="85">
        <f>COUNTA('Hallazgos consolidados'!$A$2:$A$5000)</f>
        <v>284</v>
      </c>
    </row>
    <row r="4">
      <c r="B4" s="85"/>
      <c r="C4" s="85"/>
    </row>
    <row r="5">
      <c r="B5" s="86" t="s">
        <v>2530</v>
      </c>
      <c r="C5" s="85"/>
    </row>
    <row r="6">
      <c r="B6" s="21" t="s">
        <v>2531</v>
      </c>
      <c r="C6" s="21" t="s">
        <v>2532</v>
      </c>
    </row>
    <row r="7">
      <c r="B7" s="85" t="s">
        <v>75</v>
      </c>
      <c r="C7" s="85">
        <f>COUNTIF('Hallazgos consolidados'!$B$2:$B$5000,"1ª Auditoría (+ dictamen BNO)")</f>
        <v>112</v>
      </c>
    </row>
    <row r="8">
      <c r="B8" s="85" t="s">
        <v>732</v>
      </c>
      <c r="C8" s="85">
        <f>COUNTIF('Hallazgos consolidados'!$B$2:$B$5000,"2ª Auditoría")</f>
        <v>109</v>
      </c>
    </row>
    <row r="9">
      <c r="B9" s="85" t="s">
        <v>1348</v>
      </c>
      <c r="C9" s="85">
        <f>COUNTIF('Hallazgos consolidados'!$B$2:$B$5000,"3ª Bitácora técnica")</f>
        <v>57</v>
      </c>
    </row>
    <row r="10">
      <c r="B10" s="85" t="s">
        <v>1737</v>
      </c>
      <c r="C10" s="85">
        <f>COUNTIF('Hallazgos consolidados'!$B$2:$B$5000,"4ª Auditoría Comunicaciones")</f>
        <v>6</v>
      </c>
    </row>
    <row r="11">
      <c r="B11" s="85"/>
      <c r="C11" s="85"/>
    </row>
    <row r="12">
      <c r="B12" s="86" t="s">
        <v>2533</v>
      </c>
      <c r="C12" s="85"/>
    </row>
    <row r="13">
      <c r="B13" s="21" t="s">
        <v>2531</v>
      </c>
      <c r="C13" s="21" t="s">
        <v>2532</v>
      </c>
    </row>
    <row r="14">
      <c r="B14" s="85" t="s">
        <v>221</v>
      </c>
      <c r="C14" s="85">
        <f>COUNTIF('Hallazgos consolidados'!$I$2:$I$5000,"Crítico")</f>
        <v>103</v>
      </c>
    </row>
    <row r="15">
      <c r="B15" s="85" t="s">
        <v>80</v>
      </c>
      <c r="C15" s="85">
        <f>COUNTIF('Hallazgos consolidados'!$I$2:$I$5000,"Alto")</f>
        <v>101</v>
      </c>
    </row>
    <row r="16">
      <c r="B16" s="85" t="s">
        <v>104</v>
      </c>
      <c r="C16" s="85">
        <f>COUNTIF('Hallazgos consolidados'!$I$2:$I$5000,"Medio")</f>
        <v>58</v>
      </c>
    </row>
    <row r="17">
      <c r="B17" s="85" t="s">
        <v>198</v>
      </c>
      <c r="C17" s="85">
        <f>COUNTIF('Hallazgos consolidados'!$I$2:$I$5000,"Bajo")</f>
        <v>22</v>
      </c>
    </row>
    <row r="18">
      <c r="B18" s="85" t="s">
        <v>2534</v>
      </c>
      <c r="C18" s="85">
        <f>COUNTIF('Hallazgos consolidados'!$I$2:$I$5000,"Informativo")</f>
        <v>0</v>
      </c>
    </row>
    <row r="19">
      <c r="B19" s="85"/>
      <c r="C19" s="85"/>
    </row>
    <row r="20">
      <c r="B20" s="86" t="s">
        <v>62</v>
      </c>
      <c r="C20" s="85"/>
    </row>
    <row r="21" ht="15.75" customHeight="1">
      <c r="B21" s="21" t="s">
        <v>2531</v>
      </c>
      <c r="C21" s="21" t="s">
        <v>2532</v>
      </c>
    </row>
    <row r="22" ht="15.75" customHeight="1">
      <c r="B22" s="85" t="s">
        <v>83</v>
      </c>
      <c r="C22" s="85">
        <f>COUNTIF('Hallazgos consolidados'!$L$2:$L$5000,"BNO")</f>
        <v>182</v>
      </c>
    </row>
    <row r="23" ht="15.75" customHeight="1">
      <c r="B23" s="85" t="s">
        <v>153</v>
      </c>
      <c r="C23" s="85">
        <f>COUNTIF('Hallazgos consolidados'!$L$2:$L$5000,"Compartido (BNO + Monific)")</f>
        <v>58</v>
      </c>
    </row>
    <row r="24" ht="15.75" customHeight="1">
      <c r="B24" s="85" t="s">
        <v>669</v>
      </c>
      <c r="C24" s="85">
        <f>COUNTIF('Hallazgos consolidados'!$L$2:$L$5000,"Monific – TI")</f>
        <v>17</v>
      </c>
    </row>
    <row r="25" ht="15.75" customHeight="1">
      <c r="B25" s="85" t="s">
        <v>116</v>
      </c>
      <c r="C25" s="85">
        <f>COUNTIF('Hallazgos consolidados'!$L$2:$L$5000,"Monific – negocio (Raquel)")</f>
        <v>13</v>
      </c>
    </row>
    <row r="26" ht="15.75" customHeight="1">
      <c r="B26" s="85" t="s">
        <v>489</v>
      </c>
      <c r="C26" s="85">
        <f>COUNTIF('Hallazgos consolidados'!$L$2:$L$5000,"Monific – Compliance")</f>
        <v>6</v>
      </c>
    </row>
    <row r="27" ht="15.75" customHeight="1">
      <c r="B27" s="85" t="s">
        <v>938</v>
      </c>
      <c r="C27" s="85">
        <f>COUNTIF('Hallazgos consolidados'!$L$2:$L$5000,"Despacho externo (ARI)")</f>
        <v>6</v>
      </c>
    </row>
    <row r="28" ht="15.75" customHeight="1">
      <c r="B28" s="85"/>
      <c r="C28" s="85"/>
    </row>
    <row r="29" ht="15.75" customHeight="1">
      <c r="B29" s="86" t="s">
        <v>2535</v>
      </c>
      <c r="C29" s="85"/>
    </row>
    <row r="30" ht="15.75" customHeight="1">
      <c r="B30" s="21" t="s">
        <v>2531</v>
      </c>
      <c r="C30" s="21" t="s">
        <v>2532</v>
      </c>
    </row>
    <row r="31" ht="15.75" customHeight="1">
      <c r="B31" s="85" t="s">
        <v>97</v>
      </c>
      <c r="C31" s="85">
        <f>COUNTIF('Hallazgos consolidados'!$N$2:$N$5000,"Validado (resuelto)")</f>
        <v>5</v>
      </c>
    </row>
    <row r="32" ht="15.75" customHeight="1">
      <c r="B32" s="85" t="s">
        <v>107</v>
      </c>
      <c r="C32" s="85">
        <f>COUNTIF('Hallazgos consolidados'!$N$2:$N$5000,"Resuelto (con pendiente menor)")</f>
        <v>1</v>
      </c>
    </row>
    <row r="33" ht="15.75" customHeight="1">
      <c r="B33" s="85" t="s">
        <v>2536</v>
      </c>
      <c r="C33" s="85">
        <f>COUNTIF('Hallazgos consolidados'!$N$2:$N$5000,"Resuelto pendiente de confirmar")</f>
        <v>0</v>
      </c>
    </row>
    <row r="34" ht="15.75" customHeight="1">
      <c r="B34" s="85" t="s">
        <v>1355</v>
      </c>
      <c r="C34" s="85">
        <f>COUNTIF('Hallazgos consolidados'!$N$2:$N$5000,"Resuelto por TI Monific (Daniel)")</f>
        <v>12</v>
      </c>
    </row>
    <row r="35" ht="15.75" customHeight="1">
      <c r="B35" s="85" t="s">
        <v>738</v>
      </c>
      <c r="C35" s="85">
        <f>COUNTIF('Hallazgos consolidados'!$N$2:$N$5000,"Sigue mal (abierto)")</f>
        <v>125</v>
      </c>
    </row>
    <row r="36" ht="15.75" customHeight="1">
      <c r="B36" s="85" t="s">
        <v>134</v>
      </c>
      <c r="C36" s="85">
        <f>COUNTIF('Hallazgos consolidados'!$N$2:$N$5000,"Sigue mal — BNO reconoció que aplica")</f>
        <v>103</v>
      </c>
    </row>
    <row r="37" ht="15.75" customHeight="1">
      <c r="B37" s="85" t="s">
        <v>1742</v>
      </c>
      <c r="C37" s="85">
        <f>COUNTIF('Hallazgos consolidados'!$N$2:$N$5000,"Sigue mal — verificado por API")</f>
        <v>6</v>
      </c>
    </row>
    <row r="38" ht="15.75" customHeight="1">
      <c r="B38" s="85" t="s">
        <v>85</v>
      </c>
      <c r="C38" s="85">
        <f>COUNTIF('Hallazgos consolidados'!$N$2:$N$5000,"BNO documentó resuelto pero sigue mal")</f>
        <v>1</v>
      </c>
    </row>
    <row r="39" ht="15.75" customHeight="1">
      <c r="B39" s="85" t="s">
        <v>126</v>
      </c>
      <c r="C39" s="85">
        <f>COUNTIF('Hallazgos consolidados'!$N$2:$N$5000,"Bloqueado — pendiente decisión Monific")</f>
        <v>3</v>
      </c>
    </row>
    <row r="40" ht="15.75" customHeight="1">
      <c r="B40" s="85" t="s">
        <v>155</v>
      </c>
      <c r="C40" s="85">
        <f>COUNTIF('Hallazgos consolidados'!$N$2:$N$5000,"En curso (BNO)")</f>
        <v>3</v>
      </c>
    </row>
    <row r="41" ht="15.75" customHeight="1">
      <c r="B41" s="85" t="s">
        <v>1465</v>
      </c>
      <c r="C41" s="85">
        <f>COUNTIF('Hallazgos consolidados'!$N$2:$N$5000,"Pendiente — BNO debe definir")</f>
        <v>5</v>
      </c>
    </row>
    <row r="42" ht="15.75" customHeight="1">
      <c r="B42" s="85" t="s">
        <v>1424</v>
      </c>
      <c r="C42" s="85">
        <f>COUNTIF('Hallazgos consolidados'!$N$2:$N$5000,"Pendiente — TI Monific")</f>
        <v>3</v>
      </c>
    </row>
    <row r="43" ht="15.75" customHeight="1">
      <c r="B43" s="85" t="s">
        <v>118</v>
      </c>
      <c r="C43" s="85">
        <f>COUNTIF('Hallazgos consolidados'!$N$2:$N$5000,"Descartado por acuerdo de alcance (revisar)")</f>
        <v>9</v>
      </c>
    </row>
    <row r="44" ht="15.75" customHeight="1">
      <c r="B44" s="85" t="s">
        <v>1502</v>
      </c>
      <c r="C44" s="85">
        <f>COUNTIF('Hallazgos consolidados'!$N$2:$N$5000,"No aplica / informativo")</f>
        <v>6</v>
      </c>
    </row>
    <row r="45" ht="15.75" customHeight="1">
      <c r="B45" s="85" t="s">
        <v>2537</v>
      </c>
      <c r="C45" s="85">
        <f>COUNTIF('Hallazgos consolidados'!$N$2:$N$5000,"Sin evidencia objetiva — revisar")</f>
        <v>0</v>
      </c>
    </row>
    <row r="46" ht="15.75" customHeight="1">
      <c r="B46" s="85"/>
      <c r="C46" s="85"/>
    </row>
    <row r="47" ht="15.75" customHeight="1">
      <c r="B47" s="86" t="s">
        <v>65</v>
      </c>
      <c r="C47" s="85"/>
    </row>
    <row r="48" ht="15.75" customHeight="1">
      <c r="B48" s="21" t="s">
        <v>2531</v>
      </c>
      <c r="C48" s="21" t="s">
        <v>2532</v>
      </c>
    </row>
    <row r="49" ht="15.75" customHeight="1">
      <c r="B49" s="85" t="s">
        <v>1356</v>
      </c>
      <c r="C49" s="85">
        <f>COUNTIF('Hallazgos consolidados'!$O$2:$O$5000,"Sí – Daniel (hecho)")</f>
        <v>12</v>
      </c>
    </row>
    <row r="50" ht="15.75" customHeight="1">
      <c r="B50" s="85" t="s">
        <v>1425</v>
      </c>
      <c r="C50" s="85">
        <f>COUNTIF('Hallazgos consolidados'!$O$2:$O$5000,"Pendiente TI")</f>
        <v>3</v>
      </c>
    </row>
    <row r="51" ht="15.75" customHeight="1">
      <c r="B51" s="85" t="s">
        <v>1466</v>
      </c>
      <c r="C51" s="85">
        <f>COUNTIF('Hallazgos consolidados'!$O$2:$O$5000,"Condicionado a BNO")</f>
        <v>5</v>
      </c>
    </row>
    <row r="52" ht="15.75" customHeight="1">
      <c r="B52" s="85" t="s">
        <v>86</v>
      </c>
      <c r="C52" s="85">
        <f>COUNTIF('Hallazgos consolidados'!$O$2:$O$5000,"No aplica")</f>
        <v>264</v>
      </c>
    </row>
    <row r="53" ht="15.75" customHeight="1">
      <c r="B53" s="85"/>
      <c r="C53" s="85"/>
    </row>
    <row r="54" ht="15.75" customHeight="1">
      <c r="B54" s="86" t="s">
        <v>2538</v>
      </c>
      <c r="C54" s="85"/>
    </row>
    <row r="55" ht="15.75" customHeight="1">
      <c r="B55" s="21" t="s">
        <v>2531</v>
      </c>
      <c r="C55" s="21" t="s">
        <v>2532</v>
      </c>
    </row>
    <row r="56" ht="15.75" customHeight="1">
      <c r="B56" s="85" t="s">
        <v>2539</v>
      </c>
      <c r="C56" s="85">
        <f>COUNTA('Comunicaciones (81)'!$A$2:$A$5000)</f>
        <v>81</v>
      </c>
    </row>
    <row r="57" ht="15.75" customHeight="1">
      <c r="B57" s="85" t="s">
        <v>2540</v>
      </c>
      <c r="C57" s="85">
        <f>COUNTIF('Comunicaciones (81)'!$K$2:$K$5000,"Crear")</f>
        <v>77</v>
      </c>
    </row>
    <row r="58" ht="15.75" customHeight="1">
      <c r="B58" s="85" t="s">
        <v>2541</v>
      </c>
      <c r="C58" s="85">
        <f>COUNTIF('Comunicaciones (81)'!$K$2:$K$5000,"Corregir")</f>
        <v>4</v>
      </c>
    </row>
    <row r="59" ht="15.75" customHeight="1">
      <c r="B59" s="85" t="s">
        <v>2542</v>
      </c>
      <c r="C59" s="85">
        <f>COUNTIFS('Comunicaciones (81)'!$A$2:$A$1000,"&lt;&gt;",'Comunicaciones (81)'!$L$2:$L$1000,"&lt;&gt;",'Comunicaciones (81)'!$L$2:$L$1000,"&lt;&gt;No iniciado")</f>
        <v>0</v>
      </c>
    </row>
    <row r="60" ht="15.75" customHeight="1">
      <c r="B60" s="85" t="s">
        <v>2543</v>
      </c>
      <c r="C60" s="85">
        <f>COUNTIF('Comunicaciones (81)'!$L$2:$L$5000,"No iniciado")</f>
        <v>81</v>
      </c>
    </row>
    <row r="61" ht="15.75" customHeight="1"/>
    <row r="62" ht="15.75" customHeight="1"/>
    <row r="63" ht="15.75" customHeight="1">
      <c r="B63" s="77" t="s">
        <v>2544</v>
      </c>
    </row>
    <row r="64" ht="15.75" customHeight="1">
      <c r="B64" s="33" t="s">
        <v>27</v>
      </c>
      <c r="C64" s="33" t="s">
        <v>37</v>
      </c>
    </row>
    <row r="65" ht="15.75" customHeight="1">
      <c r="B65" s="32" t="s">
        <v>2545</v>
      </c>
      <c r="C65" s="27">
        <f>COUNTIF('WF estado real (96)'!$C$2:$C$5000,"ON")</f>
        <v>57</v>
      </c>
    </row>
    <row r="66" ht="15.75" customHeight="1">
      <c r="B66" s="32" t="s">
        <v>2546</v>
      </c>
      <c r="C66" s="27">
        <f>COUNTIF('WF estado real (96)'!$C$2:$C$5000,"OFF")</f>
        <v>39</v>
      </c>
    </row>
    <row r="67" ht="15.75" customHeight="1">
      <c r="B67" s="32" t="s">
        <v>2547</v>
      </c>
      <c r="C67" s="27">
        <f>COUNTIF('Verificación 31 propiedades'!$H$2:$H$5000,"EXISTE*")</f>
        <v>5</v>
      </c>
    </row>
    <row r="68" ht="15.75" customHeight="1">
      <c r="B68" s="32" t="s">
        <v>2548</v>
      </c>
      <c r="C68" s="27">
        <f>COUNTIF('Verificación 31 propiedades'!$H$2:$H$5000,"NO EXISTE")</f>
        <v>26</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64.0"/>
    <col customWidth="1" min="3" max="3" width="18.0"/>
    <col customWidth="1" min="4" max="4" width="30.0"/>
    <col customWidth="1" min="5" max="5" width="40.0"/>
    <col customWidth="1" min="6" max="6" width="8.71"/>
  </cols>
  <sheetData>
    <row r="1" ht="27.75" customHeight="1">
      <c r="A1" s="36" t="s">
        <v>2091</v>
      </c>
      <c r="B1" s="36" t="s">
        <v>2549</v>
      </c>
      <c r="C1" s="36" t="s">
        <v>2093</v>
      </c>
      <c r="D1" s="36" t="s">
        <v>2550</v>
      </c>
      <c r="E1" s="36" t="s">
        <v>2551</v>
      </c>
    </row>
    <row r="2">
      <c r="A2" s="42">
        <v>1.0</v>
      </c>
      <c r="B2" s="42" t="s">
        <v>2552</v>
      </c>
      <c r="C2" s="50" t="s">
        <v>2553</v>
      </c>
      <c r="D2" s="42" t="s">
        <v>2554</v>
      </c>
      <c r="E2" s="42"/>
    </row>
    <row r="3">
      <c r="A3" s="42">
        <v>2.0</v>
      </c>
      <c r="B3" s="42" t="s">
        <v>2555</v>
      </c>
      <c r="C3" s="50" t="s">
        <v>2553</v>
      </c>
      <c r="D3" s="42" t="s">
        <v>1381</v>
      </c>
      <c r="E3" s="42"/>
    </row>
    <row r="4">
      <c r="A4" s="42">
        <v>3.0</v>
      </c>
      <c r="B4" s="42" t="s">
        <v>2556</v>
      </c>
      <c r="C4" s="50" t="s">
        <v>2553</v>
      </c>
      <c r="D4" s="42" t="s">
        <v>2557</v>
      </c>
      <c r="E4" s="42"/>
    </row>
    <row r="5">
      <c r="A5" s="42">
        <v>4.0</v>
      </c>
      <c r="B5" s="42" t="s">
        <v>2558</v>
      </c>
      <c r="C5" s="51" t="s">
        <v>1425</v>
      </c>
      <c r="D5" s="42" t="s">
        <v>1546</v>
      </c>
      <c r="E5" s="42"/>
    </row>
    <row r="6">
      <c r="A6" s="42">
        <v>5.0</v>
      </c>
      <c r="B6" s="42" t="s">
        <v>2559</v>
      </c>
      <c r="C6" s="50" t="s">
        <v>2553</v>
      </c>
      <c r="D6" s="42" t="s">
        <v>2560</v>
      </c>
      <c r="E6" s="42"/>
    </row>
    <row r="7">
      <c r="A7" s="42">
        <v>6.0</v>
      </c>
      <c r="B7" s="42" t="s">
        <v>2561</v>
      </c>
      <c r="C7" s="51" t="s">
        <v>1425</v>
      </c>
      <c r="D7" s="42" t="s">
        <v>2562</v>
      </c>
      <c r="E7" s="42" t="s">
        <v>2563</v>
      </c>
    </row>
    <row r="8">
      <c r="A8" s="42">
        <v>7.0</v>
      </c>
      <c r="B8" s="42" t="s">
        <v>2564</v>
      </c>
      <c r="C8" s="51" t="s">
        <v>1425</v>
      </c>
      <c r="D8" s="42" t="s">
        <v>2565</v>
      </c>
      <c r="E8" s="42"/>
    </row>
    <row r="9">
      <c r="A9" s="42">
        <v>8.0</v>
      </c>
      <c r="B9" s="42" t="s">
        <v>2566</v>
      </c>
      <c r="C9" s="50" t="s">
        <v>2553</v>
      </c>
      <c r="D9" s="42" t="s">
        <v>1532</v>
      </c>
      <c r="E9" s="42"/>
    </row>
    <row r="10">
      <c r="A10" s="42">
        <v>9.0</v>
      </c>
      <c r="B10" s="42" t="s">
        <v>2567</v>
      </c>
      <c r="C10" s="50" t="s">
        <v>2553</v>
      </c>
      <c r="D10" s="42" t="s">
        <v>1539</v>
      </c>
      <c r="E10" s="42"/>
    </row>
    <row r="11">
      <c r="A11" s="42">
        <v>10.0</v>
      </c>
      <c r="B11" s="42" t="s">
        <v>2568</v>
      </c>
      <c r="C11" s="52" t="s">
        <v>1466</v>
      </c>
      <c r="D11" s="42" t="s">
        <v>1463</v>
      </c>
      <c r="E11" s="42" t="s">
        <v>2569</v>
      </c>
    </row>
    <row r="12">
      <c r="A12" s="42">
        <v>11.0</v>
      </c>
      <c r="B12" s="42" t="s">
        <v>2570</v>
      </c>
      <c r="C12" s="52" t="s">
        <v>1466</v>
      </c>
      <c r="D12" s="42" t="s">
        <v>2571</v>
      </c>
      <c r="E12" s="42" t="s">
        <v>2572</v>
      </c>
    </row>
    <row r="13">
      <c r="A13" s="42">
        <v>12.0</v>
      </c>
      <c r="B13" s="42" t="s">
        <v>2573</v>
      </c>
      <c r="C13" s="52" t="s">
        <v>1466</v>
      </c>
      <c r="D13" s="42" t="s">
        <v>2574</v>
      </c>
      <c r="E13" s="42" t="s">
        <v>2575</v>
      </c>
    </row>
    <row r="15">
      <c r="B15" s="87" t="s">
        <v>2576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