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éeme" sheetId="1" r:id="rId5"/>
    <sheet state="visible" name="Tracker" sheetId="2" r:id="rId6"/>
    <sheet state="visible" name="Dashboard" sheetId="3" r:id="rId7"/>
    <sheet state="visible" name="Catálogos" sheetId="4" r:id="rId8"/>
  </sheets>
  <definedNames/>
  <calcPr/>
</workbook>
</file>

<file path=xl/sharedStrings.xml><?xml version="1.0" encoding="utf-8"?>
<sst xmlns="http://schemas.openxmlformats.org/spreadsheetml/2006/main" count="1153" uniqueCount="459">
  <si>
    <t>MONIFIC · Tracker de implementación</t>
  </si>
  <si>
    <t>Matriz de comunicación TO BE · HubSpot 2026</t>
  </si>
  <si>
    <t>PROPÓSITO</t>
  </si>
  <si>
    <t>Seguimiento en tiempo real de la implementación en HubSpot de las 81 comunicaciones definidas en la Matriz completa de comunicación (documento fuente de verdad). BNO actualiza el estado de cada comunicación; Monific valida.</t>
  </si>
  <si>
    <t>Universo objetivo</t>
  </si>
  <si>
    <t>81 comunicaciones: 77 por crear + 4 por corregir. Por área: Solicitantes 22 · Inversionistas 15 · ATC 7 · Cobranza 33 · PDF institucional 4.</t>
  </si>
  <si>
    <t>Cómo se usa (BNO)</t>
  </si>
  <si>
    <t>Por cada fila de la pestaña «Tracker», BNO actualiza: Estado de implementación, % avance, Responsable BNO, Fecha objetivo, Fecha real, Link al asset en HubSpot y Notas/Bloqueos. NO se modifican las columnas grises (definición de la matriz).</t>
  </si>
  <si>
    <t>Cómo se usa (Monific)</t>
  </si>
  <si>
    <t>Monific revisa lo entregado y marca la columna «Validación Monific» (Pendiente / Validado / Rechazado). El Dashboard se actualiza solo.</t>
  </si>
  <si>
    <t>Columnas FIJAS (matriz)</t>
  </si>
  <si>
    <t>ID, Área, Comunicación, Canal, Trigger, Destinatario, Responsable, Propiedad, Tokens, Estado objetivo. Son la definición acordada; no se editan.</t>
  </si>
  <si>
    <t>Columnas EDITABLES (BNO)</t>
  </si>
  <si>
    <t>Estado de implementación, % avance, Responsable BNO, Fecha objetivo, Fecha real de implementación, Link al asset HubSpot, Notas / Bloqueos.</t>
  </si>
  <si>
    <t>Columna EDITABLE (Monific)</t>
  </si>
  <si>
    <t>Validación Monific.</t>
  </si>
  <si>
    <t>Estados de implementación</t>
  </si>
  <si>
    <t>No iniciado · En diseño · En construcción · En pruebas · Implementado · En revisión Monific · Aprobado · Bloqueado. (Lista desplegable)</t>
  </si>
  <si>
    <t>Estado objetivo</t>
  </si>
  <si>
    <t>Crear = la comunicación no existe y debe construirse. Corregir = ya existe en HubSpot pero requiere ajuste (4 casos: ATC-001, ATC-007, COB-010, COB-011).</t>
  </si>
  <si>
    <t>Dashboard</t>
  </si>
  <si>
    <t>La pestaña «Dashboard» cuenta automáticamente el avance global y por área a partir de la columna «Estado de implementación». No requiere captura manual.</t>
  </si>
  <si>
    <t>Regla de oro</t>
  </si>
  <si>
    <t>Esta hoja refleja la matriz; si la matriz cambia, primero se actualiza la matriz y luego esta hoja. La matriz es la fuente de verdad.</t>
  </si>
  <si>
    <t>Fecha de creación</t>
  </si>
  <si>
    <t>16 de junio de 2026  ·  Portal HubSpot 48427391</t>
  </si>
  <si>
    <t>TRACKER DE IMPLEMENTACIÓN · MATRIZ DE COMUNICACIÓN TO BE · HUBSPOT MONIFIC 2026</t>
  </si>
  <si>
    <t>◄ DEFINICIÓN DE LA MATRIZ (fija — no editar)</t>
  </si>
  <si>
    <t>SEGUIMIENTO DE IMPLEMENTACIÓN (editable — BNO / Monific) ►</t>
  </si>
  <si>
    <t>◆ ACTUALIZACIÓN CTA · 30-jun-2026</t>
  </si>
  <si>
    <t>ID</t>
  </si>
  <si>
    <t>Área</t>
  </si>
  <si>
    <t>Comunicación</t>
  </si>
  <si>
    <t>Canal</t>
  </si>
  <si>
    <t>Trigger</t>
  </si>
  <si>
    <t>Destinatario</t>
  </si>
  <si>
    <t>Responsable</t>
  </si>
  <si>
    <t>Propiedad</t>
  </si>
  <si>
    <t>Tokens</t>
  </si>
  <si>
    <t>Estado de implementación</t>
  </si>
  <si>
    <t>% avance</t>
  </si>
  <si>
    <t>Responsable BNO</t>
  </si>
  <si>
    <t>Fecha objetivo</t>
  </si>
  <si>
    <t>Fecha real de implementación</t>
  </si>
  <si>
    <t>Link al asset HubSpot</t>
  </si>
  <si>
    <t>Validación Monific</t>
  </si>
  <si>
    <t>Notas / Bloqueos</t>
  </si>
  <si>
    <t>CTA · destino / dependencia (Monific)</t>
  </si>
  <si>
    <t>SOL-001</t>
  </si>
  <si>
    <t>Solicitantes</t>
  </si>
  <si>
    <t>Confirmación de solicitud recibida</t>
  </si>
  <si>
    <t>Email</t>
  </si>
  <si>
    <t>Formulario / negocio nuevo</t>
  </si>
  <si>
    <t>Solicitante</t>
  </si>
  <si>
    <t>A.A.S.</t>
  </si>
  <si>
    <t>PB-SOL-NEW</t>
  </si>
  <si>
    <t>TK-BASE + TK-SOL</t>
  </si>
  <si>
    <t>Crear</t>
  </si>
  <si>
    <t>No iniciado</t>
  </si>
  <si>
    <t>Pendiente</t>
  </si>
  <si>
    <t>RESPONDER · CTA «Responder "Quiero continuar"» → responder al mensaje (correo/WhatsApp). Sin asset ni dependencia de link.</t>
  </si>
  <si>
    <t>SOL-002</t>
  </si>
  <si>
    <t>Solicitud de documentación inicial</t>
  </si>
  <si>
    <t>Califica pre-revisión</t>
  </si>
  <si>
    <t>DRIVE · CTA «Cargar documentos» → carpeta del expediente (cta_url = {{deal.link_drive}}). No depende de Monific. Precondición: tarea al A.A.S. (Memo/Guillermo) para crear/compartir la carpeta, disparada por workflow (config BNO; ver SOL-022). El cta_url es el campo {{deal.link_drive}}, que se llena una vez generada la carpeta.</t>
  </si>
  <si>
    <t>SOL-003</t>
  </si>
  <si>
    <t>Recordatorio documentación día 3</t>
  </si>
  <si>
    <t>3 días sin carga completa</t>
  </si>
  <si>
    <t>DRIVE · CTA «Continuar carga» → carpeta del expediente (cta_url = {{deal.link_drive}}). No depende de Monific. Precondición: tarea al A.A.S. (Memo/Guillermo) para crear/compartir la carpeta, disparada por workflow (config BNO; ver SOL-022). El cta_url es el campo {{deal.link_drive}}, que se llena una vez generada la carpeta.</t>
  </si>
  <si>
    <t>SOL-004</t>
  </si>
  <si>
    <t>Recordatorio documentación día 6</t>
  </si>
  <si>
    <t>6 días sin carga completa</t>
  </si>
  <si>
    <t>RESPONDER · CTA «Reanudar o pausar» → responder al mensaje (correo/WhatsApp). Sin asset ni dependencia de link.</t>
  </si>
  <si>
    <t>SOL-005</t>
  </si>
  <si>
    <t>No show o sin respuesta</t>
  </si>
  <si>
    <t>Cita vencida o 7 días sin respuesta</t>
  </si>
  <si>
    <t>AGENDA · CTA «Reagendar llamada» → página de reuniones (Meetings) en HubSpot. Pendiente BNO: crear la página de agenda de Memo/Guillermo (A.A.S.) y dejar el link de calendario. Monific confirma disponibilidad y conecta el link al cta_url. Dependencia acotada: solo bloquea este asset.</t>
  </si>
  <si>
    <t>SOL-006</t>
  </si>
  <si>
    <t>Dudas sobre requisitos</t>
  </si>
  <si>
    <t>Solicitante pide orientación</t>
  </si>
  <si>
    <t>POR DEFINIR · CTA «Ver checklist personalizado» → destino sin asset definido. BNO debe indicar el asset específico (página de estatus/contenido) para fijar el cta_url.</t>
  </si>
  <si>
    <t>SOL-007</t>
  </si>
  <si>
    <t>Pausa voluntaria</t>
  </si>
  <si>
    <t>Solicitante decide pausar</t>
  </si>
  <si>
    <t>RESPONDER · CTA «Reactivar solicitud» → responder al mensaje (correo/WhatsApp). Sin asset ni dependencia de link.</t>
  </si>
  <si>
    <t>SOL-008</t>
  </si>
  <si>
    <t>Carpeta Drive creada</t>
  </si>
  <si>
    <t>WhatsApp</t>
  </si>
  <si>
    <t>Carpeta de expediente creada</t>
  </si>
  <si>
    <t>DRIVE · CTA «Abrir carpeta» → carpeta del expediente (cta_url = {{deal.link_drive}}). No depende de Monific. Precondición: tarea al A.A.S. (Memo/Guillermo) para crear/compartir la carpeta, disparada por workflow (config BNO; ver SOL-022). El cta_url es el campo {{deal.link_drive}}, que se llena una vez generada la carpeta.</t>
  </si>
  <si>
    <t>SOL-009</t>
  </si>
  <si>
    <t>Expediente completo</t>
  </si>
  <si>
    <t>Validación documental completa</t>
  </si>
  <si>
    <t>POR DEFINIR · CTA «Ver estado de tu solicitud» → destino sin asset definido. BNO debe indicar el asset específico (página de estatus/contenido) para fijar el cta_url.</t>
  </si>
  <si>
    <t>SOL-010</t>
  </si>
  <si>
    <t>Expediente con observaciones</t>
  </si>
  <si>
    <t>Validación documental parcial</t>
  </si>
  <si>
    <t>DRIVE · CTA «Corregir observaciones» → carpeta del expediente (cta_url = {{deal.link_drive}}). No depende de Monific. Precondición: tarea al A.A.S. (Memo/Guillermo) para crear/compartir la carpeta, disparada por workflow (config BNO; ver SOL-022). El cta_url es el campo {{deal.link_drive}}, que se llena una vez generada la carpeta.</t>
  </si>
  <si>
    <t>SOL-011</t>
  </si>
  <si>
    <t>No viable documental</t>
  </si>
  <si>
    <t>Documentación no subsanable</t>
  </si>
  <si>
    <t>RESPONDER · CTA «Revisar motivo y reactivar» → responder al mensaje (correo/WhatsApp). Sin asset ni dependencia de link.</t>
  </si>
  <si>
    <t>SOL-012</t>
  </si>
  <si>
    <t>Avance a evaluación financiera</t>
  </si>
  <si>
    <t>Pasa a análisis financiero</t>
  </si>
  <si>
    <t>POR DEFINIR · CTA «Consultar etapa actual» → destino sin asset definido. BNO debe indicar el asset específico (página de estatus/contenido) para fijar el cta_url.</t>
  </si>
  <si>
    <t>SOL-013</t>
  </si>
  <si>
    <t>Solicitud de evaluación interna</t>
  </si>
  <si>
    <t>Notificación interna</t>
  </si>
  <si>
    <t>Entrada a evaluación</t>
  </si>
  <si>
    <t>Comercial / Finanzas / Legal</t>
  </si>
  <si>
    <t>A.A.S. / Comercial</t>
  </si>
  <si>
    <t>PB-SOL-EVAL / PB-SOL-FORMAL</t>
  </si>
  <si>
    <t>INTERNO · Notificación interna a Comercial/Finanzas/Legal. Sin link público; depende de roles/equipos configurados por BNO.</t>
  </si>
  <si>
    <t>SOL-014</t>
  </si>
  <si>
    <t>Notificación a Dirección General</t>
  </si>
  <si>
    <t>Preaprobación / comité</t>
  </si>
  <si>
    <t>Dirección General</t>
  </si>
  <si>
    <t>INTERNO · Notificación interna a Dirección General. Sin link público; depende de roles/equipos configurados por BNO.</t>
  </si>
  <si>
    <t>SOL-015</t>
  </si>
  <si>
    <t>Aceptación preliminar</t>
  </si>
  <si>
    <t>Comité aprueba continuar</t>
  </si>
  <si>
    <t>FORMULARIO · CTA «Confirmar aceptación de términos» → formulario HubSpot. Pendiente BNO: entregar el formulario (definición/objeto). Monific lo monta/integra en HubSpot e inserta el link en el cta_url. Dependencia acotada: solo bloquea este asset.</t>
  </si>
  <si>
    <t>SOL-016</t>
  </si>
  <si>
    <t>Rechazo inmediato</t>
  </si>
  <si>
    <t>No cumple criterio básico</t>
  </si>
  <si>
    <t>POR DEFINIR · CTA «Ver motivo principal» → destino sin asset definido. BNO debe indicar el asset específico (página de estatus/contenido) para fijar el cta_url.</t>
  </si>
  <si>
    <t>SOL-017</t>
  </si>
  <si>
    <t>Rechazo formal</t>
  </si>
  <si>
    <t>PDF + Email</t>
  </si>
  <si>
    <t>Comité rechaza</t>
  </si>
  <si>
    <t>A.A.S. / Legal</t>
  </si>
  <si>
    <t>PDF · CTA «Descargar carta» → carta institucional en PDF (ver sección PDFs institucionales). Pendiente BNO: implementar la carta como plantilla prellenable conectada a propiedades; el link se inserta en el cta_url.</t>
  </si>
  <si>
    <t>SOL-018</t>
  </si>
  <si>
    <t>Inicio de formalización</t>
  </si>
  <si>
    <t>Aceptado para contrato</t>
  </si>
  <si>
    <t>POR DEFINIR · CTA «Revisar próximos pasos» → destino sin asset definido. BNO debe indicar el asset específico (página de estatus/contenido) para fijar el cta_url.</t>
  </si>
  <si>
    <t>SOL-019</t>
  </si>
  <si>
    <t>Formalización detenida</t>
  </si>
  <si>
    <t>Contrato no firmado / pendiente</t>
  </si>
  <si>
    <t>RESPONDER · CTA «Resolver pendientes» → responder al mensaje (correo/WhatsApp). Sin asset ni dependencia de link.</t>
  </si>
  <si>
    <t>SOL-020</t>
  </si>
  <si>
    <t>Contrato firmado</t>
  </si>
  <si>
    <t>Cierre ganado</t>
  </si>
  <si>
    <t>POR DEFINIR · CTA «Ver siguiente etapa» → destino sin asset definido. BNO debe indicar el asset específico (página de estatus/contenido) para fijar el cta_url.</t>
  </si>
  <si>
    <t>SOL-021</t>
  </si>
  <si>
    <t>Cierre perdido por no firma</t>
  </si>
  <si>
    <t>Contrato no firmado</t>
  </si>
  <si>
    <t>RESPONDER · CTA «Reactivar más adelante» → responder al mensaje (correo/WhatsApp). Sin asset ni dependencia de link.</t>
  </si>
  <si>
    <t>SOL-022</t>
  </si>
  <si>
    <t>Escalamiento expediente sin Drive</t>
  </si>
  <si>
    <t>Tarea interna</t>
  </si>
  <si>
    <t>Falta carpeta o enlace</t>
  </si>
  <si>
    <t>Owner comercial</t>
  </si>
  <si>
    <t>INTERNO · Tarea interna a Owner comercial. Sin link público; depende de roles/equipos configurados por BNO.</t>
  </si>
  <si>
    <t>INV-001</t>
  </si>
  <si>
    <t>Inversionistas</t>
  </si>
  <si>
    <t>WhatsApp de bienvenida comercial</t>
  </si>
  <si>
    <t>Registro / alta de inversionista</t>
  </si>
  <si>
    <t>Inversionista</t>
  </si>
  <si>
    <t>A.A.I.</t>
  </si>
  <si>
    <t>PB-INV-REG</t>
  </si>
  <si>
    <t>TK-BASE + TK-INV</t>
  </si>
  <si>
    <t>RESPONDER · CTA «Responder WhatsApp» → responder al mensaje (correo/WhatsApp). Sin asset ni dependencia de link.</t>
  </si>
  <si>
    <t>INV-002</t>
  </si>
  <si>
    <t>Tarea de primer contacto del asesor</t>
  </si>
  <si>
    <t>Tarea</t>
  </si>
  <si>
    <t>Alta de inversionista</t>
  </si>
  <si>
    <t>Asesor asignado</t>
  </si>
  <si>
    <t>INTERNO · Enviar WhatsApp (tarea interna). Sin link público; depende de roles/equipos configurados por BNO.</t>
  </si>
  <si>
    <t>INV-003</t>
  </si>
  <si>
    <t>Recordatorio de fondeo 24h</t>
  </si>
  <si>
    <t>Registro sin depósito 24h</t>
  </si>
  <si>
    <t>PB-INV-STP</t>
  </si>
  <si>
    <t>APP · CTA «Agregar fondos» → https://app.monific.com/wallet (URL fija de la app de Inversionistas, CONFIRMADA). Enlace cerrado; sin dependencia de integración para el cta_url.</t>
  </si>
  <si>
    <t>INV-004</t>
  </si>
  <si>
    <t>Seguimiento de fondeo 72h</t>
  </si>
  <si>
    <t>Registro sin depósito 72h</t>
  </si>
  <si>
    <t>AGENDA · CTA «Agendar llamada» → página de reuniones (Meetings) del asesor (A.A.I.) en HubSpot. Pendiente BNO: crear la página de agenda del asesor y dejar el link de calendario. Monific confirma disponibilidad y conecta el link al cta_url. Dependencia acotada: solo bloquea este asset.</t>
  </si>
  <si>
    <t>INV-005</t>
  </si>
  <si>
    <t>Asignación de asesor</t>
  </si>
  <si>
    <t>Nuevo inversionista calificado</t>
  </si>
  <si>
    <t>Dirección Comercial</t>
  </si>
  <si>
    <t>INTERNO · Contactar inversionista (notificación interna). Sin link público; depende de roles/equipos configurados por BNO.</t>
  </si>
  <si>
    <t>INV-006</t>
  </si>
  <si>
    <t>Saldo disponible para invertir</t>
  </si>
  <si>
    <t>Fondeo aplicado</t>
  </si>
  <si>
    <t>APP · CTA «Ver oportunidades» → https://app.monific.com/invertir (URL fija de la app de Inversionistas, CONFIRMADA). Enlace cerrado; sin dependencia de integración para el cta_url.</t>
  </si>
  <si>
    <t>INV-007</t>
  </si>
  <si>
    <t>Primera inversión detectada / siguiente paso</t>
  </si>
  <si>
    <t>Email + PDF</t>
  </si>
  <si>
    <t>Inversión confirmada</t>
  </si>
  <si>
    <t>PB-INV-ACTIVE</t>
  </si>
  <si>
    <t>INTERNO · Enviar seguimiento (tarea interna). Sin link público; depende de roles/equipos configurados por BNO.</t>
  </si>
  <si>
    <t>INV-008</t>
  </si>
  <si>
    <t>Saldo disponible por rendimiento o pago aplicado</t>
  </si>
  <si>
    <t>Asesor / Operaciones</t>
  </si>
  <si>
    <t>INV-009</t>
  </si>
  <si>
    <t>Reactivación 30 días</t>
  </si>
  <si>
    <t>Pago/rendimiento aplicado</t>
  </si>
  <si>
    <t>INV-010</t>
  </si>
  <si>
    <t>Reactivación 90 días</t>
  </si>
  <si>
    <t>Solicitud de retiro recibida</t>
  </si>
  <si>
    <t>AGENDA · CTA «Agendar revisión» → página de reuniones (Meetings) del asesor (A.A.I.) en HubSpot. Pendiente BNO: crear la página de agenda del asesor y dejar el link de calendario. Monific confirma disponibilidad y conecta el link al cta_url. Dependencia acotada: solo bloquea este asset.</t>
  </si>
  <si>
    <t>INV-011</t>
  </si>
  <si>
    <t>Reactivación 180 días / preferencias</t>
  </si>
  <si>
    <t>30 días sin invertir</t>
  </si>
  <si>
    <t>RESPONDER · CTA «Confirmar interés» → responder al mensaje. Sin asset. (Opcional a futuro: formulario de preferencias; si Monific lo decide, BNO lo entrega y Monific lo integra.)</t>
  </si>
  <si>
    <t>INV-012</t>
  </si>
  <si>
    <t>Reactivación 360 días / recuperación de cuenta</t>
  </si>
  <si>
    <t>90 días sin invertir</t>
  </si>
  <si>
    <t>APP · CTA «Revisar cuenta» → https://app.monific.com/inicio (URL fija de la app de Inversionistas, CONFIRMADA). Enlace cerrado; sin dependencia de integración para el cta_url.</t>
  </si>
  <si>
    <t>INV-013</t>
  </si>
  <si>
    <t>Reinversión post-campaña concluida</t>
  </si>
  <si>
    <t>180 días sin invertir</t>
  </si>
  <si>
    <t>INV-014</t>
  </si>
  <si>
    <t>Retención por cierre de cuenta</t>
  </si>
  <si>
    <t>360 días sin invertir</t>
  </si>
  <si>
    <t>PB-INV-CLOSE</t>
  </si>
  <si>
    <t>INTERNO · Revisar motivo (tarea interna). Sin link público; depende de roles/equipos configurados por BNO.</t>
  </si>
  <si>
    <t>INV-015</t>
  </si>
  <si>
    <t>Acompañamiento posterior a recuperación</t>
  </si>
  <si>
    <t>Proyecto liquidado</t>
  </si>
  <si>
    <t>INTERNO · Revisar caso (tarea interna). Sin link público; depende de roles/equipos configurados por BNO.</t>
  </si>
  <si>
    <t>ATC-001</t>
  </si>
  <si>
    <t>ATC</t>
  </si>
  <si>
    <t>Acuse de ticket</t>
  </si>
  <si>
    <t>Ticket creado</t>
  </si>
  <si>
    <t>Cliente</t>
  </si>
  <si>
    <t>E.A.C.</t>
  </si>
  <si>
    <t>PB-ATC</t>
  </si>
  <si>
    <t>TK-BASE + TK-ATC</t>
  </si>
  <si>
    <t>Corregir</t>
  </si>
  <si>
    <t>RESPONDER · CTA «Responder a este correo» → responder al mensaje (correo/WhatsApp). Sin asset ni dependencia de link.</t>
  </si>
  <si>
    <t>ATC-002</t>
  </si>
  <si>
    <t>Asignación de agente</t>
  </si>
  <si>
    <t>Ticket creado/asignado</t>
  </si>
  <si>
    <t>Agente ATC</t>
  </si>
  <si>
    <t>HubSpot / E.A.C.</t>
  </si>
  <si>
    <t>INTERNO · Asignación de agente (notificación interna). Sin link público; depende de roles/equipos configurados por BNO.</t>
  </si>
  <si>
    <t>ATC-003</t>
  </si>
  <si>
    <t>SLA 5 minutos vencido</t>
  </si>
  <si>
    <t>Ticket sin primera respuesta</t>
  </si>
  <si>
    <t>ATC / Dirección</t>
  </si>
  <si>
    <t>E.A.C. / D.C. / T.I.</t>
  </si>
  <si>
    <t>INTERNO · SLA 5 min vencido (notificación interna). Sin link público; depende de roles/equipos configurados por BNO.</t>
  </si>
  <si>
    <t>ATC-004</t>
  </si>
  <si>
    <t>Escalamiento a TI al cliente</t>
  </si>
  <si>
    <t>Caso requiere TI</t>
  </si>
  <si>
    <t>RESPONDER · CTA «Compartir evidencia adicional» → responder al mensaje (correo/WhatsApp). Sin asset ni dependencia de link.</t>
  </si>
  <si>
    <t>ATC-005</t>
  </si>
  <si>
    <t>Escalamiento TI interno</t>
  </si>
  <si>
    <t>Ticket requiere TI</t>
  </si>
  <si>
    <t>TI</t>
  </si>
  <si>
    <t>INTERNO · Escalamiento TI interno (notificación interna). Sin link público; depende de roles/equipos configurados por BNO.</t>
  </si>
  <si>
    <t>ATC-006</t>
  </si>
  <si>
    <t>Recordatorio TI 48h</t>
  </si>
  <si>
    <t>Ticket TI próximo a vencer</t>
  </si>
  <si>
    <t>TI / Dirección</t>
  </si>
  <si>
    <t>INTERNO · Recordatorio TI 48h (notificación interna). Sin link público; depende de roles/equipos configurados por BNO.</t>
  </si>
  <si>
    <t>ATC-007</t>
  </si>
  <si>
    <t>Cierre de ticket</t>
  </si>
  <si>
    <t>Ticket resuelto/cerrado</t>
  </si>
  <si>
    <t>RESPONDER · CTA «Responder si persiste» → responder al mensaje (correo/WhatsApp). Sin asset ni dependencia de link.</t>
  </si>
  <si>
    <t>COB-001</t>
  </si>
  <si>
    <t>Cobranza</t>
  </si>
  <si>
    <t>Nueva campaña a cobranza</t>
  </si>
  <si>
    <t>Campaña entra a cobranza activa</t>
  </si>
  <si>
    <t>Ejecutivo de Cobranza</t>
  </si>
  <si>
    <t>Cobranza / D.F. / D.C.L.</t>
  </si>
  <si>
    <t>PB-COB-ACTIVE</t>
  </si>
  <si>
    <t>TK-BASE + TK-COB</t>
  </si>
  <si>
    <t>INTERNO · Validar calendario (notificación interna). Sin link público; depende de roles/equipos configurados por BNO.</t>
  </si>
  <si>
    <t>COB-002</t>
  </si>
  <si>
    <t>Calendario de pagos al solicitante</t>
  </si>
  <si>
    <t>Campaña activa / formalizada</t>
  </si>
  <si>
    <t>Cobranza / D.F.</t>
  </si>
  <si>
    <t>CONTENIDO · CTA «Ver calendario» → tabla/estatus operativo (p. ej. {{tabla_*}}). Definir asset con BNO (página/tabla de consulta). No es agenda ni formulario.</t>
  </si>
  <si>
    <t>COB-003</t>
  </si>
  <si>
    <t>Solicitud reporte RV</t>
  </si>
  <si>
    <t>Proyecto RV previo a cuota</t>
  </si>
  <si>
    <t>FORMULARIO (por confirmar) · CTA «Enviar reporte» → carga/entrega de reporte RV. BNO debe confirmar si el destino es formulario HubSpot o respuesta con adjunto. Si es formulario: BNO entrega el formulario y Monific lo integra e inserta el link.</t>
  </si>
  <si>
    <t>COB-004</t>
  </si>
  <si>
    <t>Recordatorio T-10</t>
  </si>
  <si>
    <t>10 días antes de vencimiento</t>
  </si>
  <si>
    <t>RESPONDER · CTA «Confirmar programación» → responder al mensaje (correo/WhatsApp). Sin asset ni dependencia de link.</t>
  </si>
  <si>
    <t>COB-005</t>
  </si>
  <si>
    <t>Recordatorio T-7</t>
  </si>
  <si>
    <t>7 días antes de vencimiento</t>
  </si>
  <si>
    <t>RESPONDER · CTA «Avisar incidencia» → responder al mensaje (correo/WhatsApp). Sin asset ni dependencia de link.</t>
  </si>
  <si>
    <t>COB-006</t>
  </si>
  <si>
    <t>Recordatorio T-5</t>
  </si>
  <si>
    <t>5 días antes de vencimiento</t>
  </si>
  <si>
    <t>RESPONDER · CTA «Confirmar pago» → responder al mensaje (correo/WhatsApp). Sin asset ni dependencia de link.</t>
  </si>
  <si>
    <t>COB-007</t>
  </si>
  <si>
    <t>WhatsApp T-5</t>
  </si>
  <si>
    <t>RESPONDER · CTA «Confirmar pago (WhatsApp)» → responder al mensaje (correo/WhatsApp). Sin asset ni dependencia de link.</t>
  </si>
  <si>
    <t>COB-008</t>
  </si>
  <si>
    <t>WhatsApp T-2</t>
  </si>
  <si>
    <t>2 días antes de vencimiento</t>
  </si>
  <si>
    <t>RESPONDER · CTA «Avisar ajuste (WhatsApp)» → responder al mensaje (correo/WhatsApp). Sin asset ni dependencia de link.</t>
  </si>
  <si>
    <t>COB-009</t>
  </si>
  <si>
    <t>WhatsApp D0</t>
  </si>
  <si>
    <t>Día de vencimiento</t>
  </si>
  <si>
    <t>RESPONDER · CTA «Compartir comprobante (WhatsApp)» → responder al mensaje (correo/WhatsApp). Sin asset ni dependencia de link.</t>
  </si>
  <si>
    <t>COB-010</t>
  </si>
  <si>
    <t>Confirmación de pago</t>
  </si>
  <si>
    <t>Pago aplicado</t>
  </si>
  <si>
    <t>CONTENIDO · CTA «Ver confirmación» → tabla/estatus operativo (p. ej. {{tabla_*}}). Definir asset con BNO (página/tabla de consulta). No es agenda ni formulario.</t>
  </si>
  <si>
    <t>COB-011</t>
  </si>
  <si>
    <t>Incumplimiento día 1</t>
  </si>
  <si>
    <t>Pago no recibido al día siguiente</t>
  </si>
  <si>
    <t>RESPONDER · CTA «Compartir evidencia» → responder al mensaje (correo/WhatsApp). Sin asset ni dependencia de link.</t>
  </si>
  <si>
    <t>COB-012</t>
  </si>
  <si>
    <t>Escalamiento finanzas día 16</t>
  </si>
  <si>
    <t>Mora moderada</t>
  </si>
  <si>
    <t>Finanzas / Dirección</t>
  </si>
  <si>
    <t>INTERNO · Validar estrategia (notificación interna). Sin link público; depende de roles/equipos configurados por BNO.</t>
  </si>
  <si>
    <t>COB-013</t>
  </si>
  <si>
    <t>Mora temprana WhatsApp</t>
  </si>
  <si>
    <t>Días 1-15 de mora</t>
  </si>
  <si>
    <t>RESPONDER · CTA «Compartir fecha o comprobante (WhatsApp)» → responder al mensaje (correo/WhatsApp). Sin asset ni dependencia de link.</t>
  </si>
  <si>
    <t>COB-014</t>
  </si>
  <si>
    <t>Mora moderada WhatsApp</t>
  </si>
  <si>
    <t>Días 16-30 de mora</t>
  </si>
  <si>
    <t>RESPONDER · CTA «Enviar propuesta (WhatsApp)» → responder al mensaje (correo/WhatsApp). Sin asset ni dependencia de link.</t>
  </si>
  <si>
    <t>COB-015</t>
  </si>
  <si>
    <t>Mora grave email</t>
  </si>
  <si>
    <t>Días 31-60 de mora</t>
  </si>
  <si>
    <t>RESPONDER · CTA «Presentar propuesta formal» → responder al mensaje (correo/WhatsApp). Sin asset ni dependencia de link.</t>
  </si>
  <si>
    <t>COB-016</t>
  </si>
  <si>
    <t>Mora grave WhatsApp</t>
  </si>
  <si>
    <t>RESPONDER · CTA «Responder hoy (WhatsApp)» → responder al mensaje (correo/WhatsApp). Sin asset ni dependencia de link.</t>
  </si>
  <si>
    <t>COB-017</t>
  </si>
  <si>
    <t>Aviso a inversionistas por retraso</t>
  </si>
  <si>
    <t>Retraso con garantía líquida</t>
  </si>
  <si>
    <t>Inversionistas campaña</t>
  </si>
  <si>
    <t>CONTENIDO · CTA «Ver actualización» → tabla/estatus operativo (p. ej. {{tabla_*}}). Definir asset con BNO (página/tabla de consulta). No es agenda ni formulario.</t>
  </si>
  <si>
    <t>COB-018</t>
  </si>
  <si>
    <t>Aviso a inversionistas por cobranza con garantía</t>
  </si>
  <si>
    <t>Mora grave / garantía</t>
  </si>
  <si>
    <t>CONTENIDO · CTA «Consultar actualización» → tabla/estatus operativo (p. ej. {{tabla_*}}). Definir asset con BNO (página/tabla de consulta). No es agenda ni formulario.</t>
  </si>
  <si>
    <t>COB-019</t>
  </si>
  <si>
    <t>Solicitud de refinanciamiento recibida</t>
  </si>
  <si>
    <t>Solicitante pide refinanciamiento</t>
  </si>
  <si>
    <t>PB-COB-REFI</t>
  </si>
  <si>
    <t>RESPONDER · CTA «Adjuntar información adicional» → responder al mensaje (correo/WhatsApp). Sin asset ni dependencia de link.</t>
  </si>
  <si>
    <t>COB-020</t>
  </si>
  <si>
    <t>Refinanciamiento aprobado</t>
  </si>
  <si>
    <t>Email + WhatsApp</t>
  </si>
  <si>
    <t>Reestructura aprobada</t>
  </si>
  <si>
    <t>PDF · CTA «Revisar acuerdo» → carta institucional en PDF (ver sección PDFs institucionales). Pendiente BNO: implementar la carta como plantilla prellenable conectada a propiedades; el link se inserta en el cta_url.</t>
  </si>
  <si>
    <t>COB-021</t>
  </si>
  <si>
    <t>Refinanciamiento rechazado</t>
  </si>
  <si>
    <t>Reestructura rechazada</t>
  </si>
  <si>
    <t>RESPONDER · CTA «Compartir información adicional» → responder al mensaje (correo/WhatsApp). Sin asset ni dependencia de link.</t>
  </si>
  <si>
    <t>COB-022</t>
  </si>
  <si>
    <t>Ejecución de garantía al solicitante</t>
  </si>
  <si>
    <t>Procede garantía</t>
  </si>
  <si>
    <t>PB-COB-GARANTIA</t>
  </si>
  <si>
    <t>POR DEFINIR · CTA «Contactar área responsable» → destino sin asset definido. BNO debe indicar el asset específico (página de estatus/contenido) para fijar el cta_url.</t>
  </si>
  <si>
    <t>COB-023</t>
  </si>
  <si>
    <t>Ejecución de garantía interna</t>
  </si>
  <si>
    <t>Garantía aplicable</t>
  </si>
  <si>
    <t>Legal / Finanzas / Dirección</t>
  </si>
  <si>
    <t>INTERNO · Validar expediente (notificación interna). Sin link público; depende de roles/equipos configurados por BNO.</t>
  </si>
  <si>
    <t>COB-024</t>
  </si>
  <si>
    <t>Inicio jurídico</t>
  </si>
  <si>
    <t>Mora grave sin regularización</t>
  </si>
  <si>
    <t>Legal / Cumplimiento</t>
  </si>
  <si>
    <t>INTERNO · Preparar expediente (notificación interna). Sin link público; depende de roles/equipos configurados por BNO.</t>
  </si>
  <si>
    <t>COB-025</t>
  </si>
  <si>
    <t>Distribución posterior a garantía</t>
  </si>
  <si>
    <t>Recuperación aplicada</t>
  </si>
  <si>
    <t>APP · CTA «Ver movimiento» → https://app.monific.com/movimientos (URL fija de la app de Inversionistas, CONFIRMADA). Enlace cerrado; sin dependencia de integración para el cta_url.</t>
  </si>
  <si>
    <t>COB-026</t>
  </si>
  <si>
    <t>Campaña liquidada al solicitante</t>
  </si>
  <si>
    <t>Campaña pagada/liquidada</t>
  </si>
  <si>
    <t>PB-COB-CLOSE</t>
  </si>
  <si>
    <t>CONTENIDO · CTA «Ver cierre» → tabla/estatus operativo (p. ej. {{tabla_*}}). Definir asset con BNO (página/tabla de consulta). No es agenda ni formulario.</t>
  </si>
  <si>
    <t>COB-027</t>
  </si>
  <si>
    <t>Cierre por incumplimiento</t>
  </si>
  <si>
    <t>Caso cerrado por incumplimiento</t>
  </si>
  <si>
    <t>Dirección / Cumplimiento / Finanzas</t>
  </si>
  <si>
    <t>INTERNO · Completar cierre (notificación interna). Sin link público; depende de roles/equipos configurados por BNO.</t>
  </si>
  <si>
    <t>COB-028</t>
  </si>
  <si>
    <t>Recordatorio inversionistas mora</t>
  </si>
  <si>
    <t>Mora sin recuperación inmediata</t>
  </si>
  <si>
    <t>CONTENIDO · CTA «Consultar historial» → tabla/estatus operativo (p. ej. {{tabla_*}}). Definir asset con BNO (página/tabla de consulta). No es agenda ni formulario.</t>
  </si>
  <si>
    <t>COB-029</t>
  </si>
  <si>
    <t>Cierre administrativo de cobranza</t>
  </si>
  <si>
    <t>Cierre operativo</t>
  </si>
  <si>
    <t>INTERNO · Cerrar expediente (tarea interna). Sin link público; depende de roles/equipos configurados por BNO.</t>
  </si>
  <si>
    <t>COB-030</t>
  </si>
  <si>
    <t>ARI día 15 - preparación tabla de adeudos</t>
  </si>
  <si>
    <t>Notificación interna + Email interno</t>
  </si>
  <si>
    <t>Día 15 previo a mora temprana</t>
  </si>
  <si>
    <t>Despacho ARI / Cobranza Monific</t>
  </si>
  <si>
    <t>Despacho ARI / Cobranza</t>
  </si>
  <si>
    <t>INTERNO · Confirmar recepción (interno ARI). Sin link público; depende de roles/equipos configurados por BNO.</t>
  </si>
  <si>
    <t>COB-031</t>
  </si>
  <si>
    <t>ARI día 16+ - inicio cobranza amistosa</t>
  </si>
  <si>
    <t>Notificación interna + copia</t>
  </si>
  <si>
    <t>Día 16 / mora temprana</t>
  </si>
  <si>
    <t>Despacho ARI / D.F. / Cobranza</t>
  </si>
  <si>
    <t>INTERNO · Registrar gestión (interno ARI). Sin link público; depende de roles/equipos configurados por BNO.</t>
  </si>
  <si>
    <t>COB-032</t>
  </si>
  <si>
    <t>ARI día 30+ - cobranza formal</t>
  </si>
  <si>
    <t>Notificación interna + tarea</t>
  </si>
  <si>
    <t>Día 30 a 60 / mora moderada o grave</t>
  </si>
  <si>
    <t>Despacho ARI / D.F. / Legal</t>
  </si>
  <si>
    <t>INTERNO · Documentar gestión (interno ARI). Sin link público; depende de roles/equipos configurados por BNO.</t>
  </si>
  <si>
    <t>COB-033</t>
  </si>
  <si>
    <t>ARI día 61+ - prejudicial/judicial y ejecución de garantía</t>
  </si>
  <si>
    <t>Notificación interna + asignación</t>
  </si>
  <si>
    <t>Día 61+ / ejecución de garantía</t>
  </si>
  <si>
    <t>Despacho ARI / Legal / Cumplimiento / Dirección</t>
  </si>
  <si>
    <t>INTERNO · Validar ruta legal (interno ARI). Sin link público; depende de roles/equipos configurados por BNO.</t>
  </si>
  <si>
    <t>PDF-001</t>
  </si>
  <si>
    <t>PDF institucional</t>
  </si>
  <si>
    <t>Carta de aceptación</t>
  </si>
  <si>
    <t>PDF</t>
  </si>
  <si>
    <t>Proyecto aceptado</t>
  </si>
  <si>
    <t>Legal / Owner de pipeline</t>
  </si>
  <si>
    <t>TK-BASE + TK-SOL + TK-PDF</t>
  </si>
  <si>
    <t>PDF · CTA «Carta de aceptación» → carta institucional en PDF (ver sección PDFs institucionales). Pendiente BNO: implementar la carta como plantilla prellenable conectada a propiedades; el link se inserta en el cta_url.</t>
  </si>
  <si>
    <t>PDF-002</t>
  </si>
  <si>
    <t>Carta de observaciones</t>
  </si>
  <si>
    <t>Expediente observado</t>
  </si>
  <si>
    <t>PDF · CTA «Carta de observaciones» → carta institucional en PDF (ver sección PDFs institucionales). Pendiente BNO: implementar la carta como plantilla prellenable conectada a propiedades; el link se inserta en el cta_url.</t>
  </si>
  <si>
    <t>PDF-003</t>
  </si>
  <si>
    <t>Cartas de rechazo</t>
  </si>
  <si>
    <t>Proyecto rechazado</t>
  </si>
  <si>
    <t>PDF · CTA «Cartas de rechazo» → carta institucional en PDF (ver sección PDFs institucionales). Pendiente BNO: implementar la carta como plantilla prellenable conectada a propiedades; el link se inserta en el cta_url.</t>
  </si>
  <si>
    <t>PDF-004</t>
  </si>
  <si>
    <t>Carta de refinanciamiento</t>
  </si>
  <si>
    <t>TK-BASE + TK-COB + TK-PDF</t>
  </si>
  <si>
    <t>PDF · CTA «Carta de refinanciamiento» → carta institucional en PDF (ver sección PDFs institucionales). Pendiente BNO: implementar la carta como plantilla prellenable conectada a propiedades; el link se inserta en el cta_url.</t>
  </si>
  <si>
    <t>DASHBOARD DE AVANCE</t>
  </si>
  <si>
    <t>Se actualiza automáticamente desde la pestaña «Tracker»</t>
  </si>
  <si>
    <t>Avance global por estado de implementación</t>
  </si>
  <si>
    <t>Estado</t>
  </si>
  <si>
    <t>Conteo</t>
  </si>
  <si>
    <t>% del total</t>
  </si>
  <si>
    <t>En diseño</t>
  </si>
  <si>
    <t>En construcción</t>
  </si>
  <si>
    <t>En pruebas</t>
  </si>
  <si>
    <t>Implementado</t>
  </si>
  <si>
    <t>En revisión Monific</t>
  </si>
  <si>
    <t>Aprobado</t>
  </si>
  <si>
    <t>Bloqueado</t>
  </si>
  <si>
    <t>TOTAL</t>
  </si>
  <si>
    <t>Comunicaciones APROBADAS por Monific</t>
  </si>
  <si>
    <t>% de avance global (Aprobado / 81)</t>
  </si>
  <si>
    <t>Avance por área</t>
  </si>
  <si>
    <t>Objetivo</t>
  </si>
  <si>
    <t>En proceso</t>
  </si>
  <si>
    <t>Validado</t>
  </si>
  <si>
    <t>Rechazado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</si>
</sst>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1">
    <font>
      <sz val="11.0"/>
      <color theme="1"/>
      <name val="Calibri"/>
      <scheme val="minor"/>
    </font>
    <font>
      <b/>
      <sz val="16.0"/>
      <color rgb="FF003A4C"/>
      <name val="Arial"/>
    </font>
    <font>
      <b/>
      <sz val="12.0"/>
      <color rgb="FF125C75"/>
      <name val="Arial"/>
    </font>
    <font>
      <b/>
      <sz val="12.0"/>
      <color rgb="FFFFFFFF"/>
      <name val="Arial"/>
    </font>
    <font>
      <b/>
      <color rgb="FFFFFFFF"/>
      <name val="Arial"/>
    </font>
    <font>
      <sz val="11.0"/>
      <color theme="1"/>
      <name val="Calibri"/>
    </font>
    <font>
      <b/>
      <color rgb="FF003A4C"/>
      <name val="Arial"/>
    </font>
    <font>
      <color theme="1"/>
      <name val="Arial"/>
    </font>
    <font>
      <b/>
      <sz val="13.0"/>
      <color rgb="FFFFFFFF"/>
      <name val="Arial"/>
    </font>
    <font/>
    <font>
      <b/>
      <sz val="9.0"/>
      <color rgb="FFFFFFFF"/>
      <name val="Arial"/>
    </font>
    <font>
      <b/>
      <sz val="9.0"/>
      <color rgb="FF003A4C"/>
      <name val="Arial"/>
    </font>
    <font>
      <sz val="9.0"/>
      <color rgb="FF000000"/>
      <name val="Arial"/>
    </font>
    <font>
      <b/>
      <sz val="9.0"/>
      <color rgb="FF9C6500"/>
      <name val="Arial"/>
    </font>
    <font>
      <sz val="10.0"/>
      <color rgb="FF125C75"/>
      <name val="Arial"/>
    </font>
    <font>
      <b/>
      <sz val="11.0"/>
      <color rgb="FFFFFFFF"/>
      <name val="Arial"/>
    </font>
    <font>
      <b/>
      <sz val="10.0"/>
      <color rgb="FFFFFFFF"/>
      <name val="Arial"/>
    </font>
    <font>
      <sz val="10.0"/>
      <color rgb="FF000000"/>
      <name val="Arial"/>
    </font>
    <font>
      <b/>
      <sz val="10.0"/>
      <color rgb="FF003A4C"/>
      <name val="Arial"/>
    </font>
    <font>
      <b/>
      <sz val="12.0"/>
      <color rgb="FF006100"/>
      <name val="Arial"/>
    </font>
    <font>
      <b/>
      <sz val="10.0"/>
      <color rgb="FF125C75"/>
      <name val="Arial"/>
    </font>
  </fonts>
  <fills count="10">
    <fill>
      <patternFill patternType="none"/>
    </fill>
    <fill>
      <patternFill patternType="lightGray"/>
    </fill>
    <fill>
      <patternFill patternType="solid">
        <fgColor rgb="FF003A4C"/>
        <bgColor rgb="FF003A4C"/>
      </patternFill>
    </fill>
    <fill>
      <patternFill patternType="solid">
        <fgColor rgb="FF125C75"/>
        <bgColor rgb="FF125C75"/>
      </patternFill>
    </fill>
    <fill>
      <patternFill patternType="solid">
        <fgColor rgb="FF82BAD1"/>
        <bgColor rgb="FF82BAD1"/>
      </patternFill>
    </fill>
    <fill>
      <patternFill patternType="solid">
        <fgColor rgb="FFF4F8F9"/>
        <bgColor rgb="FFF4F8F9"/>
      </patternFill>
    </fill>
    <fill>
      <patternFill patternType="solid">
        <fgColor rgb="FFE7F4F8"/>
        <bgColor rgb="FFE7F4F8"/>
      </patternFill>
    </fill>
    <fill>
      <patternFill patternType="solid">
        <fgColor rgb="FFE3F1E4"/>
        <bgColor rgb="FFE3F1E4"/>
      </patternFill>
    </fill>
    <fill>
      <patternFill patternType="solid">
        <fgColor rgb="FFFFF2CC"/>
        <bgColor rgb="FFFFF2CC"/>
      </patternFill>
    </fill>
    <fill>
      <patternFill patternType="solid">
        <fgColor rgb="FFEAF3F3"/>
        <bgColor rgb="FFEAF3F3"/>
      </patternFill>
    </fill>
  </fills>
  <borders count="7">
    <border/>
    <border>
      <left/>
      <right/>
      <top/>
      <bottom/>
    </border>
    <border>
      <left/>
      <top/>
      <bottom/>
    </border>
    <border>
      <top/>
      <bottom/>
    </border>
    <border>
      <right/>
      <top/>
      <bottom/>
    </border>
    <border>
      <left style="thin">
        <color rgb="FFBFD7E0"/>
      </left>
      <right style="thin">
        <color rgb="FFBFD7E0"/>
      </right>
      <top style="thin">
        <color rgb="FFBFD7E0"/>
      </top>
      <bottom style="thin">
        <color rgb="FFBFD7E0"/>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3" numFmtId="0" xfId="0" applyAlignment="1" applyBorder="1" applyFill="1" applyFont="1">
      <alignment horizontal="center" shrinkToFit="0" wrapText="1"/>
    </xf>
    <xf borderId="1" fillId="2" fontId="4" numFmtId="0" xfId="0" applyAlignment="1" applyBorder="1" applyFont="1">
      <alignment horizontal="center" shrinkToFit="0" wrapText="1"/>
    </xf>
    <xf borderId="0" fillId="0" fontId="5" numFmtId="0" xfId="0" applyAlignment="1" applyFont="1">
      <alignment vertical="bottom"/>
    </xf>
    <xf borderId="0" fillId="0" fontId="6" numFmtId="0" xfId="0" applyAlignment="1" applyFont="1">
      <alignment shrinkToFit="0" vertical="top" wrapText="1"/>
    </xf>
    <xf borderId="0" fillId="0" fontId="7" numFmtId="0" xfId="0" applyAlignment="1" applyFont="1">
      <alignment shrinkToFit="0" vertical="top" wrapText="1"/>
    </xf>
    <xf borderId="2" fillId="2" fontId="8" numFmtId="0" xfId="0" applyAlignment="1" applyBorder="1" applyFont="1">
      <alignment horizontal="center" shrinkToFit="0" vertical="center" wrapText="0"/>
    </xf>
    <xf borderId="3" fillId="0" fontId="9" numFmtId="0" xfId="0" applyBorder="1" applyFont="1"/>
    <xf borderId="4" fillId="0" fontId="9" numFmtId="0" xfId="0" applyBorder="1" applyFont="1"/>
    <xf borderId="1" fillId="2" fontId="5" numFmtId="0" xfId="0" applyAlignment="1" applyBorder="1" applyFont="1">
      <alignment shrinkToFit="0" vertical="bottom" wrapText="0"/>
    </xf>
    <xf borderId="2" fillId="3" fontId="10" numFmtId="0" xfId="0" applyAlignment="1" applyBorder="1" applyFill="1" applyFont="1">
      <alignment horizontal="center" shrinkToFit="0" vertical="bottom" wrapText="0"/>
    </xf>
    <xf borderId="2" fillId="4" fontId="11" numFmtId="0" xfId="0" applyAlignment="1" applyBorder="1" applyFill="1" applyFont="1">
      <alignment horizontal="center" shrinkToFit="0" vertical="bottom" wrapText="0"/>
    </xf>
    <xf borderId="5" fillId="4" fontId="11" numFmtId="0" xfId="0" applyAlignment="1" applyBorder="1" applyFont="1">
      <alignment horizontal="center" shrinkToFit="0" vertical="center" wrapText="1"/>
    </xf>
    <xf borderId="6" fillId="2" fontId="10" numFmtId="0" xfId="0" applyAlignment="1" applyBorder="1" applyFont="1">
      <alignment horizontal="center" shrinkToFit="0" vertical="center" wrapText="1"/>
    </xf>
    <xf borderId="6" fillId="3" fontId="10" numFmtId="0" xfId="0" applyAlignment="1" applyBorder="1" applyFont="1">
      <alignment horizontal="center" shrinkToFit="0" vertical="center" wrapText="1"/>
    </xf>
    <xf borderId="6" fillId="5" fontId="11" numFmtId="0" xfId="0" applyAlignment="1" applyBorder="1" applyFill="1" applyFont="1">
      <alignment horizontal="left" shrinkToFit="0" vertical="top" wrapText="1"/>
    </xf>
    <xf borderId="6" fillId="5" fontId="12" numFmtId="0" xfId="0" applyAlignment="1" applyBorder="1" applyFont="1">
      <alignment horizontal="left" shrinkToFit="0" vertical="top" wrapText="1"/>
    </xf>
    <xf borderId="6" fillId="5" fontId="12" numFmtId="0" xfId="0" applyAlignment="1" applyBorder="1" applyFont="1">
      <alignment horizontal="center" shrinkToFit="0" vertical="top" wrapText="0"/>
    </xf>
    <xf borderId="6" fillId="0" fontId="12" numFmtId="0" xfId="0" applyAlignment="1" applyBorder="1" applyFont="1">
      <alignment horizontal="center" shrinkToFit="0" vertical="top" wrapText="0"/>
    </xf>
    <xf borderId="6" fillId="0" fontId="12" numFmtId="9" xfId="0" applyAlignment="1" applyBorder="1" applyFont="1" applyNumberFormat="1">
      <alignment horizontal="center" shrinkToFit="0" vertical="top" wrapText="0"/>
    </xf>
    <xf borderId="6" fillId="0" fontId="12" numFmtId="0" xfId="0" applyAlignment="1" applyBorder="1" applyFont="1">
      <alignment horizontal="left" shrinkToFit="0" vertical="top" wrapText="1"/>
    </xf>
    <xf borderId="5" fillId="6" fontId="12" numFmtId="0" xfId="0" applyAlignment="1" applyBorder="1" applyFill="1" applyFont="1">
      <alignment horizontal="left" shrinkToFit="0" vertical="top" wrapText="1"/>
    </xf>
    <xf borderId="5" fillId="7" fontId="12" numFmtId="0" xfId="0" applyAlignment="1" applyBorder="1" applyFill="1" applyFont="1">
      <alignment horizontal="left" shrinkToFit="0" vertical="top" wrapText="1"/>
    </xf>
    <xf borderId="6" fillId="8" fontId="13" numFmtId="0" xfId="0" applyAlignment="1" applyBorder="1" applyFill="1" applyFont="1">
      <alignment horizontal="center" shrinkToFit="0" vertical="top" wrapText="0"/>
    </xf>
    <xf borderId="0" fillId="0" fontId="14" numFmtId="0" xfId="0" applyAlignment="1" applyFont="1">
      <alignment shrinkToFit="0" vertical="bottom" wrapText="0"/>
    </xf>
    <xf borderId="1" fillId="2" fontId="15" numFmtId="0" xfId="0" applyAlignment="1" applyBorder="1" applyFont="1">
      <alignment shrinkToFit="0" vertical="bottom" wrapText="0"/>
    </xf>
    <xf borderId="1" fillId="3" fontId="16" numFmtId="0" xfId="0" applyAlignment="1" applyBorder="1" applyFont="1">
      <alignment shrinkToFit="0" vertical="bottom" wrapText="0"/>
    </xf>
    <xf borderId="0" fillId="0" fontId="17" numFmtId="0" xfId="0" applyAlignment="1" applyFont="1">
      <alignment shrinkToFit="0" vertical="bottom" wrapText="0"/>
    </xf>
    <xf borderId="0" fillId="0" fontId="17" numFmtId="164" xfId="0" applyAlignment="1" applyFont="1" applyNumberFormat="1">
      <alignment shrinkToFit="0" vertical="bottom" wrapText="0"/>
    </xf>
    <xf borderId="0" fillId="0" fontId="18" numFmtId="0" xfId="0" applyAlignment="1" applyFont="1">
      <alignment shrinkToFit="0" vertical="bottom" wrapText="0"/>
    </xf>
    <xf borderId="0" fillId="0" fontId="18" numFmtId="9" xfId="0" applyAlignment="1" applyFont="1" applyNumberFormat="1">
      <alignment shrinkToFit="0" vertical="bottom" wrapText="0"/>
    </xf>
    <xf borderId="0" fillId="0" fontId="19" numFmtId="0" xfId="0" applyAlignment="1" applyFont="1">
      <alignment shrinkToFit="0" vertical="bottom" wrapText="0"/>
    </xf>
    <xf borderId="0" fillId="0" fontId="20" numFmtId="0" xfId="0" applyAlignment="1" applyFont="1">
      <alignment shrinkToFit="0" vertical="bottom" wrapText="0"/>
    </xf>
    <xf borderId="0" fillId="0" fontId="19" numFmtId="164" xfId="0" applyAlignment="1" applyFont="1" applyNumberFormat="1">
      <alignment shrinkToFit="0" vertical="bottom" wrapText="0"/>
    </xf>
    <xf borderId="1" fillId="3" fontId="10" numFmtId="0" xfId="0" applyAlignment="1" applyBorder="1" applyFont="1">
      <alignment horizontal="center" shrinkToFit="0" vertical="bottom" wrapText="1"/>
    </xf>
    <xf borderId="0" fillId="0" fontId="17" numFmtId="0" xfId="0" applyAlignment="1" applyFont="1">
      <alignment horizontal="center" shrinkToFit="0" vertical="bottom" wrapText="0"/>
    </xf>
    <xf borderId="1" fillId="9" fontId="18" numFmtId="0" xfId="0" applyAlignment="1" applyBorder="1" applyFill="1" applyFont="1">
      <alignment shrinkToFit="0" vertical="bottom" wrapText="0"/>
    </xf>
    <xf borderId="1" fillId="9" fontId="18" numFmtId="0" xfId="0" applyAlignment="1" applyBorder="1" applyFont="1">
      <alignment horizontal="center" shrinkToFit="0" vertical="bottom" wrapText="0"/>
    </xf>
    <xf borderId="1" fillId="2" fontId="16" numFmtId="0" xfId="0" applyAlignment="1" applyBorder="1" applyFont="1">
      <alignment shrinkToFit="0" vertical="bottom" wrapText="0"/>
    </xf>
  </cellXfs>
  <cellStyles count="1">
    <cellStyle xfId="0" name="Normal" builtinId="0"/>
  </cellStyles>
  <dxfs count="9">
    <dxf>
      <font>
        <b/>
        <sz val="9.0"/>
        <color rgb="FF9C0006"/>
        <name val="Arial"/>
      </font>
      <fill>
        <patternFill patternType="solid">
          <fgColor rgb="FFF2DCDB"/>
          <bgColor rgb="FFF2DCDB"/>
        </patternFill>
      </fill>
      <border/>
    </dxf>
    <dxf>
      <font>
        <b/>
        <sz val="9.0"/>
        <color rgb="FF843C0C"/>
        <name val="Arial"/>
      </font>
      <fill>
        <patternFill patternType="solid">
          <fgColor rgb="FFFCE4D6"/>
          <bgColor rgb="FFFCE4D6"/>
        </patternFill>
      </fill>
      <border/>
    </dxf>
    <dxf>
      <font>
        <b/>
        <sz val="9.0"/>
        <color rgb="FF7F6000"/>
        <name val="Arial"/>
      </font>
      <fill>
        <patternFill patternType="solid">
          <fgColor rgb="FFFFF2CC"/>
          <bgColor rgb="FFFFF2CC"/>
        </patternFill>
      </fill>
      <border/>
    </dxf>
    <dxf>
      <font>
        <b/>
        <sz val="9.0"/>
        <color rgb="FF1F4E78"/>
        <name val="Arial"/>
      </font>
      <fill>
        <patternFill patternType="solid">
          <fgColor rgb="FFDDEBF7"/>
          <bgColor rgb="FFDDEBF7"/>
        </patternFill>
      </fill>
      <border/>
    </dxf>
    <dxf>
      <font>
        <b/>
        <sz val="9.0"/>
        <color rgb="FF215968"/>
        <name val="Arial"/>
      </font>
      <fill>
        <patternFill patternType="solid">
          <fgColor rgb="FFDAEEF3"/>
          <bgColor rgb="FFDAEEF3"/>
        </patternFill>
      </fill>
      <border/>
    </dxf>
    <dxf>
      <font>
        <b/>
        <sz val="9.0"/>
        <color rgb="FF375623"/>
        <name val="Arial"/>
      </font>
      <fill>
        <patternFill patternType="solid">
          <fgColor rgb="FFE2EFDA"/>
          <bgColor rgb="FFE2EFDA"/>
        </patternFill>
      </fill>
      <border/>
    </dxf>
    <dxf>
      <font>
        <b/>
        <sz val="9.0"/>
        <color rgb="FF006100"/>
        <name val="Arial"/>
      </font>
      <fill>
        <patternFill patternType="solid">
          <fgColor rgb="FFC6EFCE"/>
          <bgColor rgb="FFC6EFCE"/>
        </patternFill>
      </fill>
      <border/>
    </dxf>
    <dxf>
      <font>
        <b/>
        <sz val="9.0"/>
        <color rgb="FF9C0006"/>
        <name val="Arial"/>
      </font>
      <fill>
        <patternFill patternType="solid">
          <fgColor rgb="FFFFC7CE"/>
          <bgColor rgb="FFFFC7CE"/>
        </patternFill>
      </fill>
      <border/>
    </dxf>
    <dxf>
      <font>
        <b/>
        <sz val="9.0"/>
        <color rgb="FF595959"/>
        <name val="Arial"/>
      </font>
      <fill>
        <patternFill patternType="solid">
          <fgColor rgb="FFF2F2F2"/>
          <bgColor rgb="FFF2F2F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0.0"/>
    <col customWidth="1" min="3" max="3" width="95.0"/>
    <col customWidth="1" min="4" max="26" width="8.71"/>
  </cols>
  <sheetData>
    <row r="1">
      <c r="B1" s="1" t="s">
        <v>0</v>
      </c>
    </row>
    <row r="2">
      <c r="B2" s="2" t="s">
        <v>1</v>
      </c>
    </row>
    <row r="4">
      <c r="B4" s="3" t="s">
        <v>2</v>
      </c>
      <c r="C4" s="4" t="s">
        <v>3</v>
      </c>
    </row>
    <row r="5">
      <c r="B5" s="5"/>
      <c r="C5" s="5"/>
    </row>
    <row r="6">
      <c r="B6" s="6" t="s">
        <v>4</v>
      </c>
      <c r="C6" s="7" t="s">
        <v>5</v>
      </c>
    </row>
    <row r="7">
      <c r="B7" s="5"/>
      <c r="C7" s="5"/>
    </row>
    <row r="8">
      <c r="B8" s="6" t="s">
        <v>6</v>
      </c>
      <c r="C8" s="7" t="s">
        <v>7</v>
      </c>
    </row>
    <row r="9">
      <c r="B9" s="6" t="s">
        <v>8</v>
      </c>
      <c r="C9" s="7" t="s">
        <v>9</v>
      </c>
    </row>
    <row r="10">
      <c r="B10" s="5"/>
      <c r="C10" s="5"/>
    </row>
    <row r="11">
      <c r="B11" s="6" t="s">
        <v>10</v>
      </c>
      <c r="C11" s="7" t="s">
        <v>11</v>
      </c>
    </row>
    <row r="12">
      <c r="B12" s="6" t="s">
        <v>12</v>
      </c>
      <c r="C12" s="7" t="s">
        <v>13</v>
      </c>
    </row>
    <row r="13">
      <c r="B13" s="6" t="s">
        <v>14</v>
      </c>
      <c r="C13" s="7" t="s">
        <v>15</v>
      </c>
    </row>
    <row r="14">
      <c r="B14" s="5"/>
      <c r="C14" s="5"/>
    </row>
    <row r="15">
      <c r="B15" s="6" t="s">
        <v>16</v>
      </c>
      <c r="C15" s="7" t="s">
        <v>17</v>
      </c>
    </row>
    <row r="16">
      <c r="B16" s="6" t="s">
        <v>18</v>
      </c>
      <c r="C16" s="7" t="s">
        <v>19</v>
      </c>
    </row>
    <row r="17">
      <c r="B17" s="5"/>
      <c r="C17" s="5"/>
    </row>
    <row r="18">
      <c r="B18" s="6" t="s">
        <v>20</v>
      </c>
      <c r="C18" s="7" t="s">
        <v>21</v>
      </c>
    </row>
    <row r="19">
      <c r="B19" s="6" t="s">
        <v>22</v>
      </c>
      <c r="C19" s="7" t="s">
        <v>23</v>
      </c>
    </row>
    <row r="20">
      <c r="B20" s="5"/>
      <c r="C20" s="5"/>
    </row>
    <row r="21" ht="15.75" customHeight="1">
      <c r="B21" s="6" t="s">
        <v>24</v>
      </c>
      <c r="C21" s="7" t="s">
        <v>25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10.0"/>
    <col customWidth="1" min="2" max="2" width="14.0"/>
    <col customWidth="1" min="3" max="3" width="38.71"/>
    <col customWidth="1" min="4" max="4" width="15.71"/>
    <col customWidth="1" min="5" max="5" width="34.0"/>
    <col customWidth="1" min="6" max="6" width="28.0"/>
    <col customWidth="1" min="7" max="7" width="25.57"/>
    <col customWidth="1" min="8" max="8" width="17.0"/>
    <col customWidth="1" min="9" max="9" width="18.43"/>
    <col customWidth="1" min="10" max="10" width="15.0"/>
    <col customWidth="1" min="11" max="11" width="22.0"/>
    <col customWidth="1" min="12" max="12" width="10.0"/>
    <col customWidth="1" min="13" max="13" width="20.0"/>
    <col customWidth="1" min="14" max="14" width="15.0"/>
    <col customWidth="1" min="15" max="15" width="16.0"/>
    <col customWidth="1" min="16" max="16" width="30.0"/>
    <col customWidth="1" min="17" max="17" width="16.14"/>
    <col customWidth="1" min="18" max="18" width="40.0"/>
    <col customWidth="1" min="19" max="19" width="62.0"/>
  </cols>
  <sheetData>
    <row r="1" ht="25.5" customHeight="1">
      <c r="A1" s="8" t="s">
        <v>26</v>
      </c>
      <c r="B1" s="9"/>
      <c r="C1" s="9"/>
      <c r="D1" s="9"/>
      <c r="E1" s="9"/>
      <c r="F1" s="9"/>
      <c r="G1" s="9"/>
      <c r="H1" s="9"/>
      <c r="I1" s="9"/>
      <c r="J1" s="9"/>
      <c r="K1" s="9"/>
      <c r="L1" s="9"/>
      <c r="M1" s="9"/>
      <c r="N1" s="9"/>
      <c r="O1" s="9"/>
      <c r="P1" s="9"/>
      <c r="Q1" s="9"/>
      <c r="R1" s="10"/>
      <c r="S1" s="11"/>
    </row>
    <row r="2">
      <c r="A2" s="12" t="s">
        <v>27</v>
      </c>
      <c r="B2" s="9"/>
      <c r="C2" s="9"/>
      <c r="D2" s="9"/>
      <c r="E2" s="9"/>
      <c r="F2" s="9"/>
      <c r="G2" s="9"/>
      <c r="H2" s="9"/>
      <c r="I2" s="9"/>
      <c r="J2" s="10"/>
      <c r="K2" s="13" t="s">
        <v>28</v>
      </c>
      <c r="L2" s="9"/>
      <c r="M2" s="9"/>
      <c r="N2" s="9"/>
      <c r="O2" s="9"/>
      <c r="P2" s="9"/>
      <c r="Q2" s="9"/>
      <c r="R2" s="10"/>
      <c r="S2" s="14" t="s">
        <v>29</v>
      </c>
    </row>
    <row r="3" ht="33.75" customHeight="1">
      <c r="A3" s="15" t="s">
        <v>30</v>
      </c>
      <c r="B3" s="15" t="s">
        <v>31</v>
      </c>
      <c r="C3" s="15" t="s">
        <v>32</v>
      </c>
      <c r="D3" s="15" t="s">
        <v>33</v>
      </c>
      <c r="E3" s="15" t="s">
        <v>34</v>
      </c>
      <c r="F3" s="15" t="s">
        <v>35</v>
      </c>
      <c r="G3" s="15" t="s">
        <v>36</v>
      </c>
      <c r="H3" s="15" t="s">
        <v>37</v>
      </c>
      <c r="I3" s="15" t="s">
        <v>38</v>
      </c>
      <c r="J3" s="15" t="s">
        <v>18</v>
      </c>
      <c r="K3" s="16" t="s">
        <v>39</v>
      </c>
      <c r="L3" s="16" t="s">
        <v>40</v>
      </c>
      <c r="M3" s="16" t="s">
        <v>41</v>
      </c>
      <c r="N3" s="16" t="s">
        <v>42</v>
      </c>
      <c r="O3" s="16" t="s">
        <v>43</v>
      </c>
      <c r="P3" s="16" t="s">
        <v>44</v>
      </c>
      <c r="Q3" s="16" t="s">
        <v>45</v>
      </c>
      <c r="R3" s="16" t="s">
        <v>46</v>
      </c>
      <c r="S3" s="14" t="s">
        <v>47</v>
      </c>
    </row>
    <row r="4">
      <c r="A4" s="17" t="s">
        <v>48</v>
      </c>
      <c r="B4" s="18" t="s">
        <v>49</v>
      </c>
      <c r="C4" s="18" t="s">
        <v>50</v>
      </c>
      <c r="D4" s="18" t="s">
        <v>51</v>
      </c>
      <c r="E4" s="18" t="s">
        <v>52</v>
      </c>
      <c r="F4" s="18" t="s">
        <v>53</v>
      </c>
      <c r="G4" s="18" t="s">
        <v>54</v>
      </c>
      <c r="H4" s="18" t="s">
        <v>55</v>
      </c>
      <c r="I4" s="18" t="s">
        <v>56</v>
      </c>
      <c r="J4" s="19" t="s">
        <v>57</v>
      </c>
      <c r="K4" s="20" t="s">
        <v>58</v>
      </c>
      <c r="L4" s="21">
        <v>0.0</v>
      </c>
      <c r="M4" s="22"/>
      <c r="N4" s="22"/>
      <c r="O4" s="22"/>
      <c r="P4" s="22"/>
      <c r="Q4" s="20" t="s">
        <v>59</v>
      </c>
      <c r="R4" s="22"/>
      <c r="S4" s="23" t="s">
        <v>60</v>
      </c>
    </row>
    <row r="5">
      <c r="A5" s="17" t="s">
        <v>61</v>
      </c>
      <c r="B5" s="18" t="s">
        <v>49</v>
      </c>
      <c r="C5" s="18" t="s">
        <v>62</v>
      </c>
      <c r="D5" s="18" t="s">
        <v>51</v>
      </c>
      <c r="E5" s="18" t="s">
        <v>63</v>
      </c>
      <c r="F5" s="18" t="s">
        <v>53</v>
      </c>
      <c r="G5" s="18" t="s">
        <v>54</v>
      </c>
      <c r="H5" s="18" t="s">
        <v>55</v>
      </c>
      <c r="I5" s="18" t="s">
        <v>56</v>
      </c>
      <c r="J5" s="19" t="s">
        <v>57</v>
      </c>
      <c r="K5" s="20" t="s">
        <v>58</v>
      </c>
      <c r="L5" s="21">
        <v>0.0</v>
      </c>
      <c r="M5" s="22"/>
      <c r="N5" s="22"/>
      <c r="O5" s="22"/>
      <c r="P5" s="22"/>
      <c r="Q5" s="20" t="s">
        <v>59</v>
      </c>
      <c r="R5" s="22"/>
      <c r="S5" s="23" t="s">
        <v>64</v>
      </c>
    </row>
    <row r="6">
      <c r="A6" s="17" t="s">
        <v>65</v>
      </c>
      <c r="B6" s="18" t="s">
        <v>49</v>
      </c>
      <c r="C6" s="18" t="s">
        <v>66</v>
      </c>
      <c r="D6" s="18" t="s">
        <v>51</v>
      </c>
      <c r="E6" s="18" t="s">
        <v>67</v>
      </c>
      <c r="F6" s="18" t="s">
        <v>53</v>
      </c>
      <c r="G6" s="18" t="s">
        <v>54</v>
      </c>
      <c r="H6" s="18" t="s">
        <v>55</v>
      </c>
      <c r="I6" s="18" t="s">
        <v>56</v>
      </c>
      <c r="J6" s="19" t="s">
        <v>57</v>
      </c>
      <c r="K6" s="20" t="s">
        <v>58</v>
      </c>
      <c r="L6" s="21">
        <v>0.0</v>
      </c>
      <c r="M6" s="22"/>
      <c r="N6" s="22"/>
      <c r="O6" s="22"/>
      <c r="P6" s="22"/>
      <c r="Q6" s="20" t="s">
        <v>59</v>
      </c>
      <c r="R6" s="22"/>
      <c r="S6" s="23" t="s">
        <v>68</v>
      </c>
    </row>
    <row r="7">
      <c r="A7" s="17" t="s">
        <v>69</v>
      </c>
      <c r="B7" s="18" t="s">
        <v>49</v>
      </c>
      <c r="C7" s="18" t="s">
        <v>70</v>
      </c>
      <c r="D7" s="18" t="s">
        <v>51</v>
      </c>
      <c r="E7" s="18" t="s">
        <v>71</v>
      </c>
      <c r="F7" s="18" t="s">
        <v>53</v>
      </c>
      <c r="G7" s="18" t="s">
        <v>54</v>
      </c>
      <c r="H7" s="18" t="s">
        <v>55</v>
      </c>
      <c r="I7" s="18" t="s">
        <v>56</v>
      </c>
      <c r="J7" s="19" t="s">
        <v>57</v>
      </c>
      <c r="K7" s="20" t="s">
        <v>58</v>
      </c>
      <c r="L7" s="21">
        <v>0.0</v>
      </c>
      <c r="M7" s="22"/>
      <c r="N7" s="22"/>
      <c r="O7" s="22"/>
      <c r="P7" s="22"/>
      <c r="Q7" s="20" t="s">
        <v>59</v>
      </c>
      <c r="R7" s="22"/>
      <c r="S7" s="23" t="s">
        <v>72</v>
      </c>
    </row>
    <row r="8">
      <c r="A8" s="17" t="s">
        <v>73</v>
      </c>
      <c r="B8" s="18" t="s">
        <v>49</v>
      </c>
      <c r="C8" s="18" t="s">
        <v>74</v>
      </c>
      <c r="D8" s="18" t="s">
        <v>51</v>
      </c>
      <c r="E8" s="18" t="s">
        <v>75</v>
      </c>
      <c r="F8" s="18" t="s">
        <v>53</v>
      </c>
      <c r="G8" s="18" t="s">
        <v>54</v>
      </c>
      <c r="H8" s="18" t="s">
        <v>55</v>
      </c>
      <c r="I8" s="18" t="s">
        <v>56</v>
      </c>
      <c r="J8" s="19" t="s">
        <v>57</v>
      </c>
      <c r="K8" s="20" t="s">
        <v>58</v>
      </c>
      <c r="L8" s="21">
        <v>0.0</v>
      </c>
      <c r="M8" s="22"/>
      <c r="N8" s="22"/>
      <c r="O8" s="22"/>
      <c r="P8" s="22"/>
      <c r="Q8" s="20" t="s">
        <v>59</v>
      </c>
      <c r="R8" s="22"/>
      <c r="S8" s="23" t="s">
        <v>76</v>
      </c>
    </row>
    <row r="9">
      <c r="A9" s="17" t="s">
        <v>77</v>
      </c>
      <c r="B9" s="18" t="s">
        <v>49</v>
      </c>
      <c r="C9" s="18" t="s">
        <v>78</v>
      </c>
      <c r="D9" s="18" t="s">
        <v>51</v>
      </c>
      <c r="E9" s="18" t="s">
        <v>79</v>
      </c>
      <c r="F9" s="18" t="s">
        <v>53</v>
      </c>
      <c r="G9" s="18" t="s">
        <v>54</v>
      </c>
      <c r="H9" s="18" t="s">
        <v>55</v>
      </c>
      <c r="I9" s="18" t="s">
        <v>56</v>
      </c>
      <c r="J9" s="19" t="s">
        <v>57</v>
      </c>
      <c r="K9" s="20" t="s">
        <v>58</v>
      </c>
      <c r="L9" s="21">
        <v>0.0</v>
      </c>
      <c r="M9" s="22"/>
      <c r="N9" s="22"/>
      <c r="O9" s="22"/>
      <c r="P9" s="22"/>
      <c r="Q9" s="20" t="s">
        <v>59</v>
      </c>
      <c r="R9" s="22"/>
      <c r="S9" s="23" t="s">
        <v>80</v>
      </c>
    </row>
    <row r="10">
      <c r="A10" s="17" t="s">
        <v>81</v>
      </c>
      <c r="B10" s="18" t="s">
        <v>49</v>
      </c>
      <c r="C10" s="18" t="s">
        <v>82</v>
      </c>
      <c r="D10" s="18" t="s">
        <v>51</v>
      </c>
      <c r="E10" s="18" t="s">
        <v>83</v>
      </c>
      <c r="F10" s="18" t="s">
        <v>53</v>
      </c>
      <c r="G10" s="18" t="s">
        <v>54</v>
      </c>
      <c r="H10" s="18" t="s">
        <v>55</v>
      </c>
      <c r="I10" s="18" t="s">
        <v>56</v>
      </c>
      <c r="J10" s="19" t="s">
        <v>57</v>
      </c>
      <c r="K10" s="20" t="s">
        <v>58</v>
      </c>
      <c r="L10" s="21">
        <v>0.0</v>
      </c>
      <c r="M10" s="22"/>
      <c r="N10" s="22"/>
      <c r="O10" s="22"/>
      <c r="P10" s="22"/>
      <c r="Q10" s="20" t="s">
        <v>59</v>
      </c>
      <c r="R10" s="22"/>
      <c r="S10" s="23" t="s">
        <v>84</v>
      </c>
    </row>
    <row r="11">
      <c r="A11" s="17" t="s">
        <v>85</v>
      </c>
      <c r="B11" s="18" t="s">
        <v>49</v>
      </c>
      <c r="C11" s="18" t="s">
        <v>86</v>
      </c>
      <c r="D11" s="18" t="s">
        <v>87</v>
      </c>
      <c r="E11" s="18" t="s">
        <v>88</v>
      </c>
      <c r="F11" s="18" t="s">
        <v>53</v>
      </c>
      <c r="G11" s="18" t="s">
        <v>54</v>
      </c>
      <c r="H11" s="18" t="s">
        <v>55</v>
      </c>
      <c r="I11" s="18" t="s">
        <v>56</v>
      </c>
      <c r="J11" s="19" t="s">
        <v>57</v>
      </c>
      <c r="K11" s="20" t="s">
        <v>58</v>
      </c>
      <c r="L11" s="21">
        <v>0.0</v>
      </c>
      <c r="M11" s="22"/>
      <c r="N11" s="22"/>
      <c r="O11" s="22"/>
      <c r="P11" s="22"/>
      <c r="Q11" s="20" t="s">
        <v>59</v>
      </c>
      <c r="R11" s="22"/>
      <c r="S11" s="23" t="s">
        <v>89</v>
      </c>
    </row>
    <row r="12">
      <c r="A12" s="17" t="s">
        <v>90</v>
      </c>
      <c r="B12" s="18" t="s">
        <v>49</v>
      </c>
      <c r="C12" s="18" t="s">
        <v>91</v>
      </c>
      <c r="D12" s="18" t="s">
        <v>51</v>
      </c>
      <c r="E12" s="18" t="s">
        <v>92</v>
      </c>
      <c r="F12" s="18" t="s">
        <v>53</v>
      </c>
      <c r="G12" s="18" t="s">
        <v>54</v>
      </c>
      <c r="H12" s="18" t="s">
        <v>55</v>
      </c>
      <c r="I12" s="18" t="s">
        <v>56</v>
      </c>
      <c r="J12" s="19" t="s">
        <v>57</v>
      </c>
      <c r="K12" s="20" t="s">
        <v>58</v>
      </c>
      <c r="L12" s="21">
        <v>0.0</v>
      </c>
      <c r="M12" s="22"/>
      <c r="N12" s="22"/>
      <c r="O12" s="22"/>
      <c r="P12" s="22"/>
      <c r="Q12" s="20" t="s">
        <v>59</v>
      </c>
      <c r="R12" s="22"/>
      <c r="S12" s="23" t="s">
        <v>93</v>
      </c>
    </row>
    <row r="13">
      <c r="A13" s="17" t="s">
        <v>94</v>
      </c>
      <c r="B13" s="18" t="s">
        <v>49</v>
      </c>
      <c r="C13" s="18" t="s">
        <v>95</v>
      </c>
      <c r="D13" s="18" t="s">
        <v>51</v>
      </c>
      <c r="E13" s="18" t="s">
        <v>96</v>
      </c>
      <c r="F13" s="18" t="s">
        <v>53</v>
      </c>
      <c r="G13" s="18" t="s">
        <v>54</v>
      </c>
      <c r="H13" s="18" t="s">
        <v>55</v>
      </c>
      <c r="I13" s="18" t="s">
        <v>56</v>
      </c>
      <c r="J13" s="19" t="s">
        <v>57</v>
      </c>
      <c r="K13" s="20" t="s">
        <v>58</v>
      </c>
      <c r="L13" s="21">
        <v>0.0</v>
      </c>
      <c r="M13" s="22"/>
      <c r="N13" s="22"/>
      <c r="O13" s="22"/>
      <c r="P13" s="22"/>
      <c r="Q13" s="20" t="s">
        <v>59</v>
      </c>
      <c r="R13" s="22"/>
      <c r="S13" s="23" t="s">
        <v>97</v>
      </c>
    </row>
    <row r="14">
      <c r="A14" s="17" t="s">
        <v>98</v>
      </c>
      <c r="B14" s="18" t="s">
        <v>49</v>
      </c>
      <c r="C14" s="18" t="s">
        <v>99</v>
      </c>
      <c r="D14" s="18" t="s">
        <v>51</v>
      </c>
      <c r="E14" s="18" t="s">
        <v>100</v>
      </c>
      <c r="F14" s="18" t="s">
        <v>53</v>
      </c>
      <c r="G14" s="18" t="s">
        <v>54</v>
      </c>
      <c r="H14" s="18" t="s">
        <v>55</v>
      </c>
      <c r="I14" s="18" t="s">
        <v>56</v>
      </c>
      <c r="J14" s="19" t="s">
        <v>57</v>
      </c>
      <c r="K14" s="20" t="s">
        <v>58</v>
      </c>
      <c r="L14" s="21">
        <v>0.0</v>
      </c>
      <c r="M14" s="22"/>
      <c r="N14" s="22"/>
      <c r="O14" s="22"/>
      <c r="P14" s="22"/>
      <c r="Q14" s="20" t="s">
        <v>59</v>
      </c>
      <c r="R14" s="22"/>
      <c r="S14" s="23" t="s">
        <v>101</v>
      </c>
    </row>
    <row r="15">
      <c r="A15" s="17" t="s">
        <v>102</v>
      </c>
      <c r="B15" s="18" t="s">
        <v>49</v>
      </c>
      <c r="C15" s="18" t="s">
        <v>103</v>
      </c>
      <c r="D15" s="18" t="s">
        <v>51</v>
      </c>
      <c r="E15" s="18" t="s">
        <v>104</v>
      </c>
      <c r="F15" s="18" t="s">
        <v>53</v>
      </c>
      <c r="G15" s="18" t="s">
        <v>54</v>
      </c>
      <c r="H15" s="18" t="s">
        <v>55</v>
      </c>
      <c r="I15" s="18" t="s">
        <v>56</v>
      </c>
      <c r="J15" s="19" t="s">
        <v>57</v>
      </c>
      <c r="K15" s="20" t="s">
        <v>58</v>
      </c>
      <c r="L15" s="21">
        <v>0.0</v>
      </c>
      <c r="M15" s="22"/>
      <c r="N15" s="22"/>
      <c r="O15" s="22"/>
      <c r="P15" s="22"/>
      <c r="Q15" s="20" t="s">
        <v>59</v>
      </c>
      <c r="R15" s="22"/>
      <c r="S15" s="23" t="s">
        <v>105</v>
      </c>
    </row>
    <row r="16">
      <c r="A16" s="17" t="s">
        <v>106</v>
      </c>
      <c r="B16" s="18" t="s">
        <v>49</v>
      </c>
      <c r="C16" s="18" t="s">
        <v>107</v>
      </c>
      <c r="D16" s="18" t="s">
        <v>108</v>
      </c>
      <c r="E16" s="18" t="s">
        <v>109</v>
      </c>
      <c r="F16" s="18" t="s">
        <v>110</v>
      </c>
      <c r="G16" s="18" t="s">
        <v>111</v>
      </c>
      <c r="H16" s="18" t="s">
        <v>112</v>
      </c>
      <c r="I16" s="18" t="s">
        <v>56</v>
      </c>
      <c r="J16" s="19" t="s">
        <v>57</v>
      </c>
      <c r="K16" s="20" t="s">
        <v>58</v>
      </c>
      <c r="L16" s="21">
        <v>0.0</v>
      </c>
      <c r="M16" s="22"/>
      <c r="N16" s="22"/>
      <c r="O16" s="22"/>
      <c r="P16" s="22"/>
      <c r="Q16" s="20" t="s">
        <v>59</v>
      </c>
      <c r="R16" s="22"/>
      <c r="S16" s="23" t="s">
        <v>113</v>
      </c>
    </row>
    <row r="17">
      <c r="A17" s="17" t="s">
        <v>114</v>
      </c>
      <c r="B17" s="18" t="s">
        <v>49</v>
      </c>
      <c r="C17" s="18" t="s">
        <v>115</v>
      </c>
      <c r="D17" s="18" t="s">
        <v>108</v>
      </c>
      <c r="E17" s="18" t="s">
        <v>116</v>
      </c>
      <c r="F17" s="18" t="s">
        <v>117</v>
      </c>
      <c r="G17" s="18" t="s">
        <v>111</v>
      </c>
      <c r="H17" s="18" t="s">
        <v>112</v>
      </c>
      <c r="I17" s="18" t="s">
        <v>56</v>
      </c>
      <c r="J17" s="19" t="s">
        <v>57</v>
      </c>
      <c r="K17" s="20" t="s">
        <v>58</v>
      </c>
      <c r="L17" s="21">
        <v>0.0</v>
      </c>
      <c r="M17" s="22"/>
      <c r="N17" s="22"/>
      <c r="O17" s="22"/>
      <c r="P17" s="22"/>
      <c r="Q17" s="20" t="s">
        <v>59</v>
      </c>
      <c r="R17" s="22"/>
      <c r="S17" s="23" t="s">
        <v>118</v>
      </c>
    </row>
    <row r="18">
      <c r="A18" s="17" t="s">
        <v>119</v>
      </c>
      <c r="B18" s="18" t="s">
        <v>49</v>
      </c>
      <c r="C18" s="18" t="s">
        <v>120</v>
      </c>
      <c r="D18" s="18" t="s">
        <v>51</v>
      </c>
      <c r="E18" s="18" t="s">
        <v>121</v>
      </c>
      <c r="F18" s="18" t="s">
        <v>53</v>
      </c>
      <c r="G18" s="18" t="s">
        <v>54</v>
      </c>
      <c r="H18" s="18" t="s">
        <v>112</v>
      </c>
      <c r="I18" s="18" t="s">
        <v>56</v>
      </c>
      <c r="J18" s="19" t="s">
        <v>57</v>
      </c>
      <c r="K18" s="20" t="s">
        <v>58</v>
      </c>
      <c r="L18" s="21">
        <v>0.0</v>
      </c>
      <c r="M18" s="22"/>
      <c r="N18" s="22"/>
      <c r="O18" s="22"/>
      <c r="P18" s="22"/>
      <c r="Q18" s="20" t="s">
        <v>59</v>
      </c>
      <c r="R18" s="22"/>
      <c r="S18" s="23" t="s">
        <v>122</v>
      </c>
    </row>
    <row r="19">
      <c r="A19" s="17" t="s">
        <v>123</v>
      </c>
      <c r="B19" s="18" t="s">
        <v>49</v>
      </c>
      <c r="C19" s="18" t="s">
        <v>124</v>
      </c>
      <c r="D19" s="18" t="s">
        <v>51</v>
      </c>
      <c r="E19" s="18" t="s">
        <v>125</v>
      </c>
      <c r="F19" s="18" t="s">
        <v>53</v>
      </c>
      <c r="G19" s="18" t="s">
        <v>54</v>
      </c>
      <c r="H19" s="18" t="s">
        <v>112</v>
      </c>
      <c r="I19" s="18" t="s">
        <v>56</v>
      </c>
      <c r="J19" s="19" t="s">
        <v>57</v>
      </c>
      <c r="K19" s="20" t="s">
        <v>58</v>
      </c>
      <c r="L19" s="21">
        <v>0.0</v>
      </c>
      <c r="M19" s="22"/>
      <c r="N19" s="22"/>
      <c r="O19" s="22"/>
      <c r="P19" s="22"/>
      <c r="Q19" s="20" t="s">
        <v>59</v>
      </c>
      <c r="R19" s="22"/>
      <c r="S19" s="23" t="s">
        <v>126</v>
      </c>
    </row>
    <row r="20">
      <c r="A20" s="17" t="s">
        <v>127</v>
      </c>
      <c r="B20" s="18" t="s">
        <v>49</v>
      </c>
      <c r="C20" s="18" t="s">
        <v>128</v>
      </c>
      <c r="D20" s="18" t="s">
        <v>129</v>
      </c>
      <c r="E20" s="18" t="s">
        <v>130</v>
      </c>
      <c r="F20" s="18" t="s">
        <v>53</v>
      </c>
      <c r="G20" s="18" t="s">
        <v>131</v>
      </c>
      <c r="H20" s="18" t="s">
        <v>112</v>
      </c>
      <c r="I20" s="18" t="s">
        <v>56</v>
      </c>
      <c r="J20" s="19" t="s">
        <v>57</v>
      </c>
      <c r="K20" s="20" t="s">
        <v>58</v>
      </c>
      <c r="L20" s="21">
        <v>0.0</v>
      </c>
      <c r="M20" s="22"/>
      <c r="N20" s="22"/>
      <c r="O20" s="22"/>
      <c r="P20" s="22"/>
      <c r="Q20" s="20" t="s">
        <v>59</v>
      </c>
      <c r="R20" s="22"/>
      <c r="S20" s="23" t="s">
        <v>132</v>
      </c>
    </row>
    <row r="21" ht="15.75" customHeight="1">
      <c r="A21" s="17" t="s">
        <v>133</v>
      </c>
      <c r="B21" s="18" t="s">
        <v>49</v>
      </c>
      <c r="C21" s="18" t="s">
        <v>134</v>
      </c>
      <c r="D21" s="18" t="s">
        <v>51</v>
      </c>
      <c r="E21" s="18" t="s">
        <v>135</v>
      </c>
      <c r="F21" s="18" t="s">
        <v>53</v>
      </c>
      <c r="G21" s="18" t="s">
        <v>54</v>
      </c>
      <c r="H21" s="18" t="s">
        <v>112</v>
      </c>
      <c r="I21" s="18" t="s">
        <v>56</v>
      </c>
      <c r="J21" s="19" t="s">
        <v>57</v>
      </c>
      <c r="K21" s="20" t="s">
        <v>58</v>
      </c>
      <c r="L21" s="21">
        <v>0.0</v>
      </c>
      <c r="M21" s="22"/>
      <c r="N21" s="22"/>
      <c r="O21" s="22"/>
      <c r="P21" s="22"/>
      <c r="Q21" s="20" t="s">
        <v>59</v>
      </c>
      <c r="R21" s="22"/>
      <c r="S21" s="23" t="s">
        <v>136</v>
      </c>
    </row>
    <row r="22" ht="15.75" customHeight="1">
      <c r="A22" s="17" t="s">
        <v>137</v>
      </c>
      <c r="B22" s="18" t="s">
        <v>49</v>
      </c>
      <c r="C22" s="18" t="s">
        <v>138</v>
      </c>
      <c r="D22" s="18" t="s">
        <v>51</v>
      </c>
      <c r="E22" s="18" t="s">
        <v>139</v>
      </c>
      <c r="F22" s="18" t="s">
        <v>53</v>
      </c>
      <c r="G22" s="18" t="s">
        <v>54</v>
      </c>
      <c r="H22" s="18" t="s">
        <v>112</v>
      </c>
      <c r="I22" s="18" t="s">
        <v>56</v>
      </c>
      <c r="J22" s="19" t="s">
        <v>57</v>
      </c>
      <c r="K22" s="20" t="s">
        <v>58</v>
      </c>
      <c r="L22" s="21">
        <v>0.0</v>
      </c>
      <c r="M22" s="22"/>
      <c r="N22" s="22"/>
      <c r="O22" s="22"/>
      <c r="P22" s="22"/>
      <c r="Q22" s="20" t="s">
        <v>59</v>
      </c>
      <c r="R22" s="22"/>
      <c r="S22" s="23" t="s">
        <v>140</v>
      </c>
    </row>
    <row r="23" ht="15.75" customHeight="1">
      <c r="A23" s="17" t="s">
        <v>141</v>
      </c>
      <c r="B23" s="18" t="s">
        <v>49</v>
      </c>
      <c r="C23" s="18" t="s">
        <v>142</v>
      </c>
      <c r="D23" s="18" t="s">
        <v>51</v>
      </c>
      <c r="E23" s="18" t="s">
        <v>143</v>
      </c>
      <c r="F23" s="18" t="s">
        <v>53</v>
      </c>
      <c r="G23" s="18" t="s">
        <v>54</v>
      </c>
      <c r="H23" s="18" t="s">
        <v>112</v>
      </c>
      <c r="I23" s="18" t="s">
        <v>56</v>
      </c>
      <c r="J23" s="19" t="s">
        <v>57</v>
      </c>
      <c r="K23" s="20" t="s">
        <v>58</v>
      </c>
      <c r="L23" s="21">
        <v>0.0</v>
      </c>
      <c r="M23" s="22"/>
      <c r="N23" s="22"/>
      <c r="O23" s="22"/>
      <c r="P23" s="22"/>
      <c r="Q23" s="20" t="s">
        <v>59</v>
      </c>
      <c r="R23" s="22"/>
      <c r="S23" s="23" t="s">
        <v>144</v>
      </c>
    </row>
    <row r="24" ht="15.75" customHeight="1">
      <c r="A24" s="17" t="s">
        <v>145</v>
      </c>
      <c r="B24" s="18" t="s">
        <v>49</v>
      </c>
      <c r="C24" s="18" t="s">
        <v>146</v>
      </c>
      <c r="D24" s="18" t="s">
        <v>51</v>
      </c>
      <c r="E24" s="18" t="s">
        <v>147</v>
      </c>
      <c r="F24" s="18" t="s">
        <v>53</v>
      </c>
      <c r="G24" s="18" t="s">
        <v>54</v>
      </c>
      <c r="H24" s="18" t="s">
        <v>112</v>
      </c>
      <c r="I24" s="18" t="s">
        <v>56</v>
      </c>
      <c r="J24" s="19" t="s">
        <v>57</v>
      </c>
      <c r="K24" s="20" t="s">
        <v>58</v>
      </c>
      <c r="L24" s="21">
        <v>0.0</v>
      </c>
      <c r="M24" s="22"/>
      <c r="N24" s="22"/>
      <c r="O24" s="22"/>
      <c r="P24" s="22"/>
      <c r="Q24" s="20" t="s">
        <v>59</v>
      </c>
      <c r="R24" s="22"/>
      <c r="S24" s="23" t="s">
        <v>148</v>
      </c>
    </row>
    <row r="25" ht="15.75" customHeight="1">
      <c r="A25" s="17" t="s">
        <v>149</v>
      </c>
      <c r="B25" s="18" t="s">
        <v>49</v>
      </c>
      <c r="C25" s="18" t="s">
        <v>150</v>
      </c>
      <c r="D25" s="18" t="s">
        <v>151</v>
      </c>
      <c r="E25" s="18" t="s">
        <v>152</v>
      </c>
      <c r="F25" s="18" t="s">
        <v>153</v>
      </c>
      <c r="G25" s="18" t="s">
        <v>111</v>
      </c>
      <c r="H25" s="18" t="s">
        <v>55</v>
      </c>
      <c r="I25" s="18" t="s">
        <v>56</v>
      </c>
      <c r="J25" s="19" t="s">
        <v>57</v>
      </c>
      <c r="K25" s="20" t="s">
        <v>58</v>
      </c>
      <c r="L25" s="21">
        <v>0.0</v>
      </c>
      <c r="M25" s="22"/>
      <c r="N25" s="22"/>
      <c r="O25" s="22"/>
      <c r="P25" s="22"/>
      <c r="Q25" s="20" t="s">
        <v>59</v>
      </c>
      <c r="R25" s="22"/>
      <c r="S25" s="23" t="s">
        <v>154</v>
      </c>
    </row>
    <row r="26" ht="15.75" customHeight="1">
      <c r="A26" s="17" t="s">
        <v>155</v>
      </c>
      <c r="B26" s="18" t="s">
        <v>156</v>
      </c>
      <c r="C26" s="18" t="s">
        <v>157</v>
      </c>
      <c r="D26" s="18" t="s">
        <v>87</v>
      </c>
      <c r="E26" s="18" t="s">
        <v>158</v>
      </c>
      <c r="F26" s="18" t="s">
        <v>159</v>
      </c>
      <c r="G26" s="18" t="s">
        <v>160</v>
      </c>
      <c r="H26" s="18" t="s">
        <v>161</v>
      </c>
      <c r="I26" s="18" t="s">
        <v>162</v>
      </c>
      <c r="J26" s="19" t="s">
        <v>57</v>
      </c>
      <c r="K26" s="20" t="s">
        <v>58</v>
      </c>
      <c r="L26" s="21">
        <v>0.0</v>
      </c>
      <c r="M26" s="22"/>
      <c r="N26" s="22"/>
      <c r="O26" s="22"/>
      <c r="P26" s="22"/>
      <c r="Q26" s="20" t="s">
        <v>59</v>
      </c>
      <c r="R26" s="22"/>
      <c r="S26" s="23" t="s">
        <v>163</v>
      </c>
    </row>
    <row r="27" ht="15.75" customHeight="1">
      <c r="A27" s="17" t="s">
        <v>164</v>
      </c>
      <c r="B27" s="18" t="s">
        <v>156</v>
      </c>
      <c r="C27" s="18" t="s">
        <v>165</v>
      </c>
      <c r="D27" s="18" t="s">
        <v>166</v>
      </c>
      <c r="E27" s="18" t="s">
        <v>167</v>
      </c>
      <c r="F27" s="18" t="s">
        <v>168</v>
      </c>
      <c r="G27" s="18" t="s">
        <v>160</v>
      </c>
      <c r="H27" s="18" t="s">
        <v>161</v>
      </c>
      <c r="I27" s="18" t="s">
        <v>162</v>
      </c>
      <c r="J27" s="19" t="s">
        <v>57</v>
      </c>
      <c r="K27" s="20" t="s">
        <v>58</v>
      </c>
      <c r="L27" s="21">
        <v>0.0</v>
      </c>
      <c r="M27" s="22"/>
      <c r="N27" s="22"/>
      <c r="O27" s="22"/>
      <c r="P27" s="22"/>
      <c r="Q27" s="20" t="s">
        <v>59</v>
      </c>
      <c r="R27" s="22"/>
      <c r="S27" s="23" t="s">
        <v>169</v>
      </c>
    </row>
    <row r="28" ht="15.75" customHeight="1">
      <c r="A28" s="17" t="s">
        <v>170</v>
      </c>
      <c r="B28" s="18" t="s">
        <v>156</v>
      </c>
      <c r="C28" s="18" t="s">
        <v>171</v>
      </c>
      <c r="D28" s="18" t="s">
        <v>87</v>
      </c>
      <c r="E28" s="18" t="s">
        <v>172</v>
      </c>
      <c r="F28" s="18" t="s">
        <v>159</v>
      </c>
      <c r="G28" s="18" t="s">
        <v>160</v>
      </c>
      <c r="H28" s="18" t="s">
        <v>173</v>
      </c>
      <c r="I28" s="18" t="s">
        <v>162</v>
      </c>
      <c r="J28" s="19" t="s">
        <v>57</v>
      </c>
      <c r="K28" s="20" t="s">
        <v>58</v>
      </c>
      <c r="L28" s="21">
        <v>0.0</v>
      </c>
      <c r="M28" s="22"/>
      <c r="N28" s="22"/>
      <c r="O28" s="22"/>
      <c r="P28" s="22"/>
      <c r="Q28" s="20" t="s">
        <v>59</v>
      </c>
      <c r="R28" s="22"/>
      <c r="S28" s="24" t="s">
        <v>174</v>
      </c>
    </row>
    <row r="29" ht="15.75" customHeight="1">
      <c r="A29" s="17" t="s">
        <v>175</v>
      </c>
      <c r="B29" s="18" t="s">
        <v>156</v>
      </c>
      <c r="C29" s="18" t="s">
        <v>176</v>
      </c>
      <c r="D29" s="18" t="s">
        <v>87</v>
      </c>
      <c r="E29" s="18" t="s">
        <v>177</v>
      </c>
      <c r="F29" s="18" t="s">
        <v>159</v>
      </c>
      <c r="G29" s="18" t="s">
        <v>160</v>
      </c>
      <c r="H29" s="18" t="s">
        <v>173</v>
      </c>
      <c r="I29" s="18" t="s">
        <v>162</v>
      </c>
      <c r="J29" s="19" t="s">
        <v>57</v>
      </c>
      <c r="K29" s="20" t="s">
        <v>58</v>
      </c>
      <c r="L29" s="21">
        <v>0.0</v>
      </c>
      <c r="M29" s="22"/>
      <c r="N29" s="22"/>
      <c r="O29" s="22"/>
      <c r="P29" s="22"/>
      <c r="Q29" s="20" t="s">
        <v>59</v>
      </c>
      <c r="R29" s="22"/>
      <c r="S29" s="23" t="s">
        <v>178</v>
      </c>
    </row>
    <row r="30" ht="15.75" customHeight="1">
      <c r="A30" s="17" t="s">
        <v>179</v>
      </c>
      <c r="B30" s="18" t="s">
        <v>156</v>
      </c>
      <c r="C30" s="18" t="s">
        <v>180</v>
      </c>
      <c r="D30" s="18" t="s">
        <v>108</v>
      </c>
      <c r="E30" s="18" t="s">
        <v>181</v>
      </c>
      <c r="F30" s="18" t="s">
        <v>168</v>
      </c>
      <c r="G30" s="18" t="s">
        <v>182</v>
      </c>
      <c r="H30" s="18" t="s">
        <v>161</v>
      </c>
      <c r="I30" s="18" t="s">
        <v>162</v>
      </c>
      <c r="J30" s="19" t="s">
        <v>57</v>
      </c>
      <c r="K30" s="20" t="s">
        <v>58</v>
      </c>
      <c r="L30" s="21">
        <v>0.0</v>
      </c>
      <c r="M30" s="22"/>
      <c r="N30" s="22"/>
      <c r="O30" s="22"/>
      <c r="P30" s="22"/>
      <c r="Q30" s="20" t="s">
        <v>59</v>
      </c>
      <c r="R30" s="22"/>
      <c r="S30" s="23" t="s">
        <v>183</v>
      </c>
    </row>
    <row r="31" ht="15.75" customHeight="1">
      <c r="A31" s="17" t="s">
        <v>184</v>
      </c>
      <c r="B31" s="18" t="s">
        <v>156</v>
      </c>
      <c r="C31" s="18" t="s">
        <v>185</v>
      </c>
      <c r="D31" s="18" t="s">
        <v>51</v>
      </c>
      <c r="E31" s="18" t="s">
        <v>186</v>
      </c>
      <c r="F31" s="18" t="s">
        <v>159</v>
      </c>
      <c r="G31" s="18" t="s">
        <v>160</v>
      </c>
      <c r="H31" s="18" t="s">
        <v>173</v>
      </c>
      <c r="I31" s="18" t="s">
        <v>162</v>
      </c>
      <c r="J31" s="19" t="s">
        <v>57</v>
      </c>
      <c r="K31" s="20" t="s">
        <v>58</v>
      </c>
      <c r="L31" s="21">
        <v>0.0</v>
      </c>
      <c r="M31" s="22"/>
      <c r="N31" s="22"/>
      <c r="O31" s="22"/>
      <c r="P31" s="22"/>
      <c r="Q31" s="20" t="s">
        <v>59</v>
      </c>
      <c r="R31" s="22"/>
      <c r="S31" s="24" t="s">
        <v>187</v>
      </c>
    </row>
    <row r="32" ht="15.75" customHeight="1">
      <c r="A32" s="17" t="s">
        <v>188</v>
      </c>
      <c r="B32" s="18" t="s">
        <v>156</v>
      </c>
      <c r="C32" s="18" t="s">
        <v>189</v>
      </c>
      <c r="D32" s="18" t="s">
        <v>190</v>
      </c>
      <c r="E32" s="18" t="s">
        <v>191</v>
      </c>
      <c r="F32" s="18" t="s">
        <v>159</v>
      </c>
      <c r="G32" s="18" t="s">
        <v>160</v>
      </c>
      <c r="H32" s="18" t="s">
        <v>192</v>
      </c>
      <c r="I32" s="18" t="s">
        <v>162</v>
      </c>
      <c r="J32" s="19" t="s">
        <v>57</v>
      </c>
      <c r="K32" s="20" t="s">
        <v>58</v>
      </c>
      <c r="L32" s="21">
        <v>0.0</v>
      </c>
      <c r="M32" s="22"/>
      <c r="N32" s="22"/>
      <c r="O32" s="22"/>
      <c r="P32" s="22"/>
      <c r="Q32" s="20" t="s">
        <v>59</v>
      </c>
      <c r="R32" s="22"/>
      <c r="S32" s="23" t="s">
        <v>193</v>
      </c>
    </row>
    <row r="33" ht="15.75" customHeight="1">
      <c r="A33" s="17" t="s">
        <v>194</v>
      </c>
      <c r="B33" s="18" t="s">
        <v>156</v>
      </c>
      <c r="C33" s="18" t="s">
        <v>195</v>
      </c>
      <c r="D33" s="18" t="s">
        <v>108</v>
      </c>
      <c r="E33" s="18" t="s">
        <v>191</v>
      </c>
      <c r="F33" s="18" t="s">
        <v>196</v>
      </c>
      <c r="G33" s="18" t="s">
        <v>160</v>
      </c>
      <c r="H33" s="18" t="s">
        <v>192</v>
      </c>
      <c r="I33" s="18" t="s">
        <v>162</v>
      </c>
      <c r="J33" s="19" t="s">
        <v>57</v>
      </c>
      <c r="K33" s="20" t="s">
        <v>58</v>
      </c>
      <c r="L33" s="21">
        <v>0.0</v>
      </c>
      <c r="M33" s="22"/>
      <c r="N33" s="22"/>
      <c r="O33" s="22"/>
      <c r="P33" s="22"/>
      <c r="Q33" s="20" t="s">
        <v>59</v>
      </c>
      <c r="R33" s="22"/>
      <c r="S33" s="24" t="s">
        <v>187</v>
      </c>
    </row>
    <row r="34" ht="15.75" customHeight="1">
      <c r="A34" s="17" t="s">
        <v>197</v>
      </c>
      <c r="B34" s="18" t="s">
        <v>156</v>
      </c>
      <c r="C34" s="18" t="s">
        <v>198</v>
      </c>
      <c r="D34" s="18" t="s">
        <v>51</v>
      </c>
      <c r="E34" s="18" t="s">
        <v>199</v>
      </c>
      <c r="F34" s="18" t="s">
        <v>159</v>
      </c>
      <c r="G34" s="18" t="s">
        <v>160</v>
      </c>
      <c r="H34" s="18" t="s">
        <v>192</v>
      </c>
      <c r="I34" s="18" t="s">
        <v>162</v>
      </c>
      <c r="J34" s="19" t="s">
        <v>57</v>
      </c>
      <c r="K34" s="20" t="s">
        <v>58</v>
      </c>
      <c r="L34" s="21">
        <v>0.0</v>
      </c>
      <c r="M34" s="22"/>
      <c r="N34" s="22"/>
      <c r="O34" s="22"/>
      <c r="P34" s="22"/>
      <c r="Q34" s="20" t="s">
        <v>59</v>
      </c>
      <c r="R34" s="22"/>
      <c r="S34" s="24" t="s">
        <v>187</v>
      </c>
    </row>
    <row r="35" ht="15.75" customHeight="1">
      <c r="A35" s="17" t="s">
        <v>200</v>
      </c>
      <c r="B35" s="18" t="s">
        <v>156</v>
      </c>
      <c r="C35" s="18" t="s">
        <v>201</v>
      </c>
      <c r="D35" s="18" t="s">
        <v>51</v>
      </c>
      <c r="E35" s="18" t="s">
        <v>202</v>
      </c>
      <c r="F35" s="18" t="s">
        <v>159</v>
      </c>
      <c r="G35" s="18" t="s">
        <v>160</v>
      </c>
      <c r="H35" s="18" t="s">
        <v>192</v>
      </c>
      <c r="I35" s="18" t="s">
        <v>162</v>
      </c>
      <c r="J35" s="19" t="s">
        <v>57</v>
      </c>
      <c r="K35" s="20" t="s">
        <v>58</v>
      </c>
      <c r="L35" s="21">
        <v>0.0</v>
      </c>
      <c r="M35" s="22"/>
      <c r="N35" s="22"/>
      <c r="O35" s="22"/>
      <c r="P35" s="22"/>
      <c r="Q35" s="20" t="s">
        <v>59</v>
      </c>
      <c r="R35" s="22"/>
      <c r="S35" s="23" t="s">
        <v>203</v>
      </c>
    </row>
    <row r="36" ht="15.75" customHeight="1">
      <c r="A36" s="17" t="s">
        <v>204</v>
      </c>
      <c r="B36" s="18" t="s">
        <v>156</v>
      </c>
      <c r="C36" s="18" t="s">
        <v>205</v>
      </c>
      <c r="D36" s="18" t="s">
        <v>51</v>
      </c>
      <c r="E36" s="18" t="s">
        <v>206</v>
      </c>
      <c r="F36" s="18" t="s">
        <v>159</v>
      </c>
      <c r="G36" s="18" t="s">
        <v>160</v>
      </c>
      <c r="H36" s="18" t="s">
        <v>192</v>
      </c>
      <c r="I36" s="18" t="s">
        <v>162</v>
      </c>
      <c r="J36" s="19" t="s">
        <v>57</v>
      </c>
      <c r="K36" s="20" t="s">
        <v>58</v>
      </c>
      <c r="L36" s="21">
        <v>0.0</v>
      </c>
      <c r="M36" s="22"/>
      <c r="N36" s="22"/>
      <c r="O36" s="22"/>
      <c r="P36" s="22"/>
      <c r="Q36" s="20" t="s">
        <v>59</v>
      </c>
      <c r="R36" s="22"/>
      <c r="S36" s="23" t="s">
        <v>207</v>
      </c>
    </row>
    <row r="37" ht="15.75" customHeight="1">
      <c r="A37" s="17" t="s">
        <v>208</v>
      </c>
      <c r="B37" s="18" t="s">
        <v>156</v>
      </c>
      <c r="C37" s="18" t="s">
        <v>209</v>
      </c>
      <c r="D37" s="18" t="s">
        <v>51</v>
      </c>
      <c r="E37" s="18" t="s">
        <v>210</v>
      </c>
      <c r="F37" s="18" t="s">
        <v>159</v>
      </c>
      <c r="G37" s="18" t="s">
        <v>160</v>
      </c>
      <c r="H37" s="18" t="s">
        <v>192</v>
      </c>
      <c r="I37" s="18" t="s">
        <v>162</v>
      </c>
      <c r="J37" s="19" t="s">
        <v>57</v>
      </c>
      <c r="K37" s="20" t="s">
        <v>58</v>
      </c>
      <c r="L37" s="21">
        <v>0.0</v>
      </c>
      <c r="M37" s="22"/>
      <c r="N37" s="22"/>
      <c r="O37" s="22"/>
      <c r="P37" s="22"/>
      <c r="Q37" s="20" t="s">
        <v>59</v>
      </c>
      <c r="R37" s="22"/>
      <c r="S37" s="24" t="s">
        <v>211</v>
      </c>
    </row>
    <row r="38" ht="15.75" customHeight="1">
      <c r="A38" s="17" t="s">
        <v>212</v>
      </c>
      <c r="B38" s="18" t="s">
        <v>156</v>
      </c>
      <c r="C38" s="18" t="s">
        <v>213</v>
      </c>
      <c r="D38" s="18" t="s">
        <v>51</v>
      </c>
      <c r="E38" s="18" t="s">
        <v>214</v>
      </c>
      <c r="F38" s="18" t="s">
        <v>159</v>
      </c>
      <c r="G38" s="18" t="s">
        <v>160</v>
      </c>
      <c r="H38" s="18" t="s">
        <v>192</v>
      </c>
      <c r="I38" s="18" t="s">
        <v>162</v>
      </c>
      <c r="J38" s="19" t="s">
        <v>57</v>
      </c>
      <c r="K38" s="20" t="s">
        <v>58</v>
      </c>
      <c r="L38" s="21">
        <v>0.0</v>
      </c>
      <c r="M38" s="22"/>
      <c r="N38" s="22"/>
      <c r="O38" s="22"/>
      <c r="P38" s="22"/>
      <c r="Q38" s="20" t="s">
        <v>59</v>
      </c>
      <c r="R38" s="22"/>
      <c r="S38" s="24" t="s">
        <v>187</v>
      </c>
    </row>
    <row r="39" ht="15.75" customHeight="1">
      <c r="A39" s="17" t="s">
        <v>215</v>
      </c>
      <c r="B39" s="18" t="s">
        <v>156</v>
      </c>
      <c r="C39" s="18" t="s">
        <v>216</v>
      </c>
      <c r="D39" s="18" t="s">
        <v>108</v>
      </c>
      <c r="E39" s="18" t="s">
        <v>217</v>
      </c>
      <c r="F39" s="18" t="s">
        <v>159</v>
      </c>
      <c r="G39" s="18" t="s">
        <v>160</v>
      </c>
      <c r="H39" s="18" t="s">
        <v>218</v>
      </c>
      <c r="I39" s="18" t="s">
        <v>162</v>
      </c>
      <c r="J39" s="19" t="s">
        <v>57</v>
      </c>
      <c r="K39" s="20" t="s">
        <v>58</v>
      </c>
      <c r="L39" s="21">
        <v>0.0</v>
      </c>
      <c r="M39" s="22"/>
      <c r="N39" s="22"/>
      <c r="O39" s="22"/>
      <c r="P39" s="22"/>
      <c r="Q39" s="20" t="s">
        <v>59</v>
      </c>
      <c r="R39" s="22"/>
      <c r="S39" s="23" t="s">
        <v>219</v>
      </c>
    </row>
    <row r="40" ht="15.75" customHeight="1">
      <c r="A40" s="17" t="s">
        <v>220</v>
      </c>
      <c r="B40" s="18" t="s">
        <v>156</v>
      </c>
      <c r="C40" s="18" t="s">
        <v>221</v>
      </c>
      <c r="D40" s="18" t="s">
        <v>108</v>
      </c>
      <c r="E40" s="18" t="s">
        <v>222</v>
      </c>
      <c r="F40" s="18" t="s">
        <v>159</v>
      </c>
      <c r="G40" s="18" t="s">
        <v>160</v>
      </c>
      <c r="H40" s="18" t="s">
        <v>218</v>
      </c>
      <c r="I40" s="18" t="s">
        <v>162</v>
      </c>
      <c r="J40" s="19" t="s">
        <v>57</v>
      </c>
      <c r="K40" s="20" t="s">
        <v>58</v>
      </c>
      <c r="L40" s="21">
        <v>0.0</v>
      </c>
      <c r="M40" s="22"/>
      <c r="N40" s="22"/>
      <c r="O40" s="22"/>
      <c r="P40" s="22"/>
      <c r="Q40" s="20" t="s">
        <v>59</v>
      </c>
      <c r="R40" s="22"/>
      <c r="S40" s="23" t="s">
        <v>223</v>
      </c>
    </row>
    <row r="41" ht="15.75" customHeight="1">
      <c r="A41" s="17" t="s">
        <v>224</v>
      </c>
      <c r="B41" s="18" t="s">
        <v>225</v>
      </c>
      <c r="C41" s="18" t="s">
        <v>226</v>
      </c>
      <c r="D41" s="18" t="s">
        <v>51</v>
      </c>
      <c r="E41" s="18" t="s">
        <v>227</v>
      </c>
      <c r="F41" s="18" t="s">
        <v>228</v>
      </c>
      <c r="G41" s="18" t="s">
        <v>229</v>
      </c>
      <c r="H41" s="18" t="s">
        <v>230</v>
      </c>
      <c r="I41" s="18" t="s">
        <v>231</v>
      </c>
      <c r="J41" s="25" t="s">
        <v>232</v>
      </c>
      <c r="K41" s="20" t="s">
        <v>58</v>
      </c>
      <c r="L41" s="21">
        <v>0.0</v>
      </c>
      <c r="M41" s="22"/>
      <c r="N41" s="22"/>
      <c r="O41" s="22"/>
      <c r="P41" s="22"/>
      <c r="Q41" s="20" t="s">
        <v>59</v>
      </c>
      <c r="R41" s="22"/>
      <c r="S41" s="23" t="s">
        <v>233</v>
      </c>
    </row>
    <row r="42" ht="15.75" customHeight="1">
      <c r="A42" s="17" t="s">
        <v>234</v>
      </c>
      <c r="B42" s="18" t="s">
        <v>225</v>
      </c>
      <c r="C42" s="18" t="s">
        <v>235</v>
      </c>
      <c r="D42" s="18" t="s">
        <v>108</v>
      </c>
      <c r="E42" s="18" t="s">
        <v>236</v>
      </c>
      <c r="F42" s="18" t="s">
        <v>237</v>
      </c>
      <c r="G42" s="18" t="s">
        <v>238</v>
      </c>
      <c r="H42" s="18" t="s">
        <v>230</v>
      </c>
      <c r="I42" s="18" t="s">
        <v>231</v>
      </c>
      <c r="J42" s="19" t="s">
        <v>57</v>
      </c>
      <c r="K42" s="20" t="s">
        <v>58</v>
      </c>
      <c r="L42" s="21">
        <v>0.0</v>
      </c>
      <c r="M42" s="22"/>
      <c r="N42" s="22"/>
      <c r="O42" s="22"/>
      <c r="P42" s="22"/>
      <c r="Q42" s="20" t="s">
        <v>59</v>
      </c>
      <c r="R42" s="22"/>
      <c r="S42" s="23" t="s">
        <v>239</v>
      </c>
    </row>
    <row r="43" ht="15.75" customHeight="1">
      <c r="A43" s="17" t="s">
        <v>240</v>
      </c>
      <c r="B43" s="18" t="s">
        <v>225</v>
      </c>
      <c r="C43" s="18" t="s">
        <v>241</v>
      </c>
      <c r="D43" s="18" t="s">
        <v>108</v>
      </c>
      <c r="E43" s="18" t="s">
        <v>242</v>
      </c>
      <c r="F43" s="18" t="s">
        <v>243</v>
      </c>
      <c r="G43" s="18" t="s">
        <v>244</v>
      </c>
      <c r="H43" s="18" t="s">
        <v>230</v>
      </c>
      <c r="I43" s="18" t="s">
        <v>231</v>
      </c>
      <c r="J43" s="19" t="s">
        <v>57</v>
      </c>
      <c r="K43" s="20" t="s">
        <v>58</v>
      </c>
      <c r="L43" s="21">
        <v>0.0</v>
      </c>
      <c r="M43" s="22"/>
      <c r="N43" s="22"/>
      <c r="O43" s="22"/>
      <c r="P43" s="22"/>
      <c r="Q43" s="20" t="s">
        <v>59</v>
      </c>
      <c r="R43" s="22"/>
      <c r="S43" s="23" t="s">
        <v>245</v>
      </c>
    </row>
    <row r="44" ht="15.75" customHeight="1">
      <c r="A44" s="17" t="s">
        <v>246</v>
      </c>
      <c r="B44" s="18" t="s">
        <v>225</v>
      </c>
      <c r="C44" s="18" t="s">
        <v>247</v>
      </c>
      <c r="D44" s="18" t="s">
        <v>51</v>
      </c>
      <c r="E44" s="18" t="s">
        <v>248</v>
      </c>
      <c r="F44" s="18" t="s">
        <v>228</v>
      </c>
      <c r="G44" s="18" t="s">
        <v>229</v>
      </c>
      <c r="H44" s="18" t="s">
        <v>230</v>
      </c>
      <c r="I44" s="18" t="s">
        <v>231</v>
      </c>
      <c r="J44" s="19" t="s">
        <v>57</v>
      </c>
      <c r="K44" s="20" t="s">
        <v>58</v>
      </c>
      <c r="L44" s="21">
        <v>0.0</v>
      </c>
      <c r="M44" s="22"/>
      <c r="N44" s="22"/>
      <c r="O44" s="22"/>
      <c r="P44" s="22"/>
      <c r="Q44" s="20" t="s">
        <v>59</v>
      </c>
      <c r="R44" s="22"/>
      <c r="S44" s="23" t="s">
        <v>249</v>
      </c>
    </row>
    <row r="45" ht="15.75" customHeight="1">
      <c r="A45" s="17" t="s">
        <v>250</v>
      </c>
      <c r="B45" s="18" t="s">
        <v>225</v>
      </c>
      <c r="C45" s="18" t="s">
        <v>251</v>
      </c>
      <c r="D45" s="18" t="s">
        <v>108</v>
      </c>
      <c r="E45" s="18" t="s">
        <v>252</v>
      </c>
      <c r="F45" s="18" t="s">
        <v>253</v>
      </c>
      <c r="G45" s="18" t="s">
        <v>244</v>
      </c>
      <c r="H45" s="18" t="s">
        <v>230</v>
      </c>
      <c r="I45" s="18" t="s">
        <v>231</v>
      </c>
      <c r="J45" s="19" t="s">
        <v>57</v>
      </c>
      <c r="K45" s="20" t="s">
        <v>58</v>
      </c>
      <c r="L45" s="21">
        <v>0.0</v>
      </c>
      <c r="M45" s="22"/>
      <c r="N45" s="22"/>
      <c r="O45" s="22"/>
      <c r="P45" s="22"/>
      <c r="Q45" s="20" t="s">
        <v>59</v>
      </c>
      <c r="R45" s="22"/>
      <c r="S45" s="23" t="s">
        <v>254</v>
      </c>
    </row>
    <row r="46" ht="15.75" customHeight="1">
      <c r="A46" s="17" t="s">
        <v>255</v>
      </c>
      <c r="B46" s="18" t="s">
        <v>225</v>
      </c>
      <c r="C46" s="18" t="s">
        <v>256</v>
      </c>
      <c r="D46" s="18" t="s">
        <v>108</v>
      </c>
      <c r="E46" s="18" t="s">
        <v>257</v>
      </c>
      <c r="F46" s="18" t="s">
        <v>258</v>
      </c>
      <c r="G46" s="18" t="s">
        <v>244</v>
      </c>
      <c r="H46" s="18" t="s">
        <v>230</v>
      </c>
      <c r="I46" s="18" t="s">
        <v>231</v>
      </c>
      <c r="J46" s="19" t="s">
        <v>57</v>
      </c>
      <c r="K46" s="20" t="s">
        <v>58</v>
      </c>
      <c r="L46" s="21">
        <v>0.0</v>
      </c>
      <c r="M46" s="22"/>
      <c r="N46" s="22"/>
      <c r="O46" s="22"/>
      <c r="P46" s="22"/>
      <c r="Q46" s="20" t="s">
        <v>59</v>
      </c>
      <c r="R46" s="22"/>
      <c r="S46" s="23" t="s">
        <v>259</v>
      </c>
    </row>
    <row r="47" ht="15.75" customHeight="1">
      <c r="A47" s="17" t="s">
        <v>260</v>
      </c>
      <c r="B47" s="18" t="s">
        <v>225</v>
      </c>
      <c r="C47" s="18" t="s">
        <v>261</v>
      </c>
      <c r="D47" s="18" t="s">
        <v>51</v>
      </c>
      <c r="E47" s="18" t="s">
        <v>262</v>
      </c>
      <c r="F47" s="18" t="s">
        <v>228</v>
      </c>
      <c r="G47" s="18" t="s">
        <v>229</v>
      </c>
      <c r="H47" s="18" t="s">
        <v>230</v>
      </c>
      <c r="I47" s="18" t="s">
        <v>231</v>
      </c>
      <c r="J47" s="25" t="s">
        <v>232</v>
      </c>
      <c r="K47" s="20" t="s">
        <v>58</v>
      </c>
      <c r="L47" s="21">
        <v>0.0</v>
      </c>
      <c r="M47" s="22"/>
      <c r="N47" s="22"/>
      <c r="O47" s="22"/>
      <c r="P47" s="22"/>
      <c r="Q47" s="20" t="s">
        <v>59</v>
      </c>
      <c r="R47" s="22"/>
      <c r="S47" s="23" t="s">
        <v>263</v>
      </c>
    </row>
    <row r="48" ht="15.75" customHeight="1">
      <c r="A48" s="17" t="s">
        <v>264</v>
      </c>
      <c r="B48" s="18" t="s">
        <v>265</v>
      </c>
      <c r="C48" s="18" t="s">
        <v>266</v>
      </c>
      <c r="D48" s="18" t="s">
        <v>108</v>
      </c>
      <c r="E48" s="18" t="s">
        <v>267</v>
      </c>
      <c r="F48" s="18" t="s">
        <v>268</v>
      </c>
      <c r="G48" s="18" t="s">
        <v>269</v>
      </c>
      <c r="H48" s="18" t="s">
        <v>270</v>
      </c>
      <c r="I48" s="18" t="s">
        <v>271</v>
      </c>
      <c r="J48" s="19" t="s">
        <v>57</v>
      </c>
      <c r="K48" s="20" t="s">
        <v>58</v>
      </c>
      <c r="L48" s="21">
        <v>0.0</v>
      </c>
      <c r="M48" s="22"/>
      <c r="N48" s="22"/>
      <c r="O48" s="22"/>
      <c r="P48" s="22"/>
      <c r="Q48" s="20" t="s">
        <v>59</v>
      </c>
      <c r="R48" s="22"/>
      <c r="S48" s="23" t="s">
        <v>272</v>
      </c>
    </row>
    <row r="49" ht="15.75" customHeight="1">
      <c r="A49" s="17" t="s">
        <v>273</v>
      </c>
      <c r="B49" s="18" t="s">
        <v>265</v>
      </c>
      <c r="C49" s="18" t="s">
        <v>274</v>
      </c>
      <c r="D49" s="18" t="s">
        <v>51</v>
      </c>
      <c r="E49" s="18" t="s">
        <v>275</v>
      </c>
      <c r="F49" s="18" t="s">
        <v>53</v>
      </c>
      <c r="G49" s="18" t="s">
        <v>276</v>
      </c>
      <c r="H49" s="18" t="s">
        <v>270</v>
      </c>
      <c r="I49" s="18" t="s">
        <v>271</v>
      </c>
      <c r="J49" s="19" t="s">
        <v>57</v>
      </c>
      <c r="K49" s="20" t="s">
        <v>58</v>
      </c>
      <c r="L49" s="21">
        <v>0.0</v>
      </c>
      <c r="M49" s="22"/>
      <c r="N49" s="22"/>
      <c r="O49" s="22"/>
      <c r="P49" s="22"/>
      <c r="Q49" s="20" t="s">
        <v>59</v>
      </c>
      <c r="R49" s="22"/>
      <c r="S49" s="23" t="s">
        <v>277</v>
      </c>
    </row>
    <row r="50" ht="15.75" customHeight="1">
      <c r="A50" s="17" t="s">
        <v>278</v>
      </c>
      <c r="B50" s="18" t="s">
        <v>265</v>
      </c>
      <c r="C50" s="18" t="s">
        <v>279</v>
      </c>
      <c r="D50" s="18" t="s">
        <v>51</v>
      </c>
      <c r="E50" s="18" t="s">
        <v>280</v>
      </c>
      <c r="F50" s="18" t="s">
        <v>53</v>
      </c>
      <c r="G50" s="18" t="s">
        <v>276</v>
      </c>
      <c r="H50" s="18" t="s">
        <v>270</v>
      </c>
      <c r="I50" s="18" t="s">
        <v>271</v>
      </c>
      <c r="J50" s="19" t="s">
        <v>57</v>
      </c>
      <c r="K50" s="20" t="s">
        <v>58</v>
      </c>
      <c r="L50" s="21">
        <v>0.0</v>
      </c>
      <c r="M50" s="22"/>
      <c r="N50" s="22"/>
      <c r="O50" s="22"/>
      <c r="P50" s="22"/>
      <c r="Q50" s="20" t="s">
        <v>59</v>
      </c>
      <c r="R50" s="22"/>
      <c r="S50" s="23" t="s">
        <v>281</v>
      </c>
    </row>
    <row r="51" ht="15.75" customHeight="1">
      <c r="A51" s="17" t="s">
        <v>282</v>
      </c>
      <c r="B51" s="18" t="s">
        <v>265</v>
      </c>
      <c r="C51" s="18" t="s">
        <v>283</v>
      </c>
      <c r="D51" s="18" t="s">
        <v>51</v>
      </c>
      <c r="E51" s="18" t="s">
        <v>284</v>
      </c>
      <c r="F51" s="18" t="s">
        <v>53</v>
      </c>
      <c r="G51" s="18" t="s">
        <v>276</v>
      </c>
      <c r="H51" s="18" t="s">
        <v>270</v>
      </c>
      <c r="I51" s="18" t="s">
        <v>271</v>
      </c>
      <c r="J51" s="19" t="s">
        <v>57</v>
      </c>
      <c r="K51" s="20" t="s">
        <v>58</v>
      </c>
      <c r="L51" s="21">
        <v>0.0</v>
      </c>
      <c r="M51" s="22"/>
      <c r="N51" s="22"/>
      <c r="O51" s="22"/>
      <c r="P51" s="22"/>
      <c r="Q51" s="20" t="s">
        <v>59</v>
      </c>
      <c r="R51" s="22"/>
      <c r="S51" s="23" t="s">
        <v>285</v>
      </c>
    </row>
    <row r="52" ht="15.75" customHeight="1">
      <c r="A52" s="17" t="s">
        <v>286</v>
      </c>
      <c r="B52" s="18" t="s">
        <v>265</v>
      </c>
      <c r="C52" s="18" t="s">
        <v>287</v>
      </c>
      <c r="D52" s="18" t="s">
        <v>51</v>
      </c>
      <c r="E52" s="18" t="s">
        <v>288</v>
      </c>
      <c r="F52" s="18" t="s">
        <v>53</v>
      </c>
      <c r="G52" s="18" t="s">
        <v>276</v>
      </c>
      <c r="H52" s="18" t="s">
        <v>270</v>
      </c>
      <c r="I52" s="18" t="s">
        <v>271</v>
      </c>
      <c r="J52" s="19" t="s">
        <v>57</v>
      </c>
      <c r="K52" s="20" t="s">
        <v>58</v>
      </c>
      <c r="L52" s="21">
        <v>0.0</v>
      </c>
      <c r="M52" s="22"/>
      <c r="N52" s="22"/>
      <c r="O52" s="22"/>
      <c r="P52" s="22"/>
      <c r="Q52" s="20" t="s">
        <v>59</v>
      </c>
      <c r="R52" s="22"/>
      <c r="S52" s="23" t="s">
        <v>289</v>
      </c>
    </row>
    <row r="53" ht="15.75" customHeight="1">
      <c r="A53" s="17" t="s">
        <v>290</v>
      </c>
      <c r="B53" s="18" t="s">
        <v>265</v>
      </c>
      <c r="C53" s="18" t="s">
        <v>291</v>
      </c>
      <c r="D53" s="18" t="s">
        <v>51</v>
      </c>
      <c r="E53" s="18" t="s">
        <v>292</v>
      </c>
      <c r="F53" s="18" t="s">
        <v>53</v>
      </c>
      <c r="G53" s="18" t="s">
        <v>276</v>
      </c>
      <c r="H53" s="18" t="s">
        <v>270</v>
      </c>
      <c r="I53" s="18" t="s">
        <v>271</v>
      </c>
      <c r="J53" s="19" t="s">
        <v>57</v>
      </c>
      <c r="K53" s="20" t="s">
        <v>58</v>
      </c>
      <c r="L53" s="21">
        <v>0.0</v>
      </c>
      <c r="M53" s="22"/>
      <c r="N53" s="22"/>
      <c r="O53" s="22"/>
      <c r="P53" s="22"/>
      <c r="Q53" s="20" t="s">
        <v>59</v>
      </c>
      <c r="R53" s="22"/>
      <c r="S53" s="23" t="s">
        <v>293</v>
      </c>
    </row>
    <row r="54" ht="15.75" customHeight="1">
      <c r="A54" s="17" t="s">
        <v>294</v>
      </c>
      <c r="B54" s="18" t="s">
        <v>265</v>
      </c>
      <c r="C54" s="18" t="s">
        <v>295</v>
      </c>
      <c r="D54" s="18" t="s">
        <v>87</v>
      </c>
      <c r="E54" s="18" t="s">
        <v>292</v>
      </c>
      <c r="F54" s="18" t="s">
        <v>53</v>
      </c>
      <c r="G54" s="18" t="s">
        <v>276</v>
      </c>
      <c r="H54" s="18" t="s">
        <v>270</v>
      </c>
      <c r="I54" s="18" t="s">
        <v>271</v>
      </c>
      <c r="J54" s="19" t="s">
        <v>57</v>
      </c>
      <c r="K54" s="20" t="s">
        <v>58</v>
      </c>
      <c r="L54" s="21">
        <v>0.0</v>
      </c>
      <c r="M54" s="22"/>
      <c r="N54" s="22"/>
      <c r="O54" s="22"/>
      <c r="P54" s="22"/>
      <c r="Q54" s="20" t="s">
        <v>59</v>
      </c>
      <c r="R54" s="22"/>
      <c r="S54" s="23" t="s">
        <v>296</v>
      </c>
    </row>
    <row r="55" ht="15.75" customHeight="1">
      <c r="A55" s="17" t="s">
        <v>297</v>
      </c>
      <c r="B55" s="18" t="s">
        <v>265</v>
      </c>
      <c r="C55" s="18" t="s">
        <v>298</v>
      </c>
      <c r="D55" s="18" t="s">
        <v>87</v>
      </c>
      <c r="E55" s="18" t="s">
        <v>299</v>
      </c>
      <c r="F55" s="18" t="s">
        <v>53</v>
      </c>
      <c r="G55" s="18" t="s">
        <v>276</v>
      </c>
      <c r="H55" s="18" t="s">
        <v>270</v>
      </c>
      <c r="I55" s="18" t="s">
        <v>271</v>
      </c>
      <c r="J55" s="19" t="s">
        <v>57</v>
      </c>
      <c r="K55" s="20" t="s">
        <v>58</v>
      </c>
      <c r="L55" s="21">
        <v>0.0</v>
      </c>
      <c r="M55" s="22"/>
      <c r="N55" s="22"/>
      <c r="O55" s="22"/>
      <c r="P55" s="22"/>
      <c r="Q55" s="20" t="s">
        <v>59</v>
      </c>
      <c r="R55" s="22"/>
      <c r="S55" s="23" t="s">
        <v>300</v>
      </c>
    </row>
    <row r="56" ht="15.75" customHeight="1">
      <c r="A56" s="17" t="s">
        <v>301</v>
      </c>
      <c r="B56" s="18" t="s">
        <v>265</v>
      </c>
      <c r="C56" s="18" t="s">
        <v>302</v>
      </c>
      <c r="D56" s="18" t="s">
        <v>87</v>
      </c>
      <c r="E56" s="18" t="s">
        <v>303</v>
      </c>
      <c r="F56" s="18" t="s">
        <v>53</v>
      </c>
      <c r="G56" s="18" t="s">
        <v>276</v>
      </c>
      <c r="H56" s="18" t="s">
        <v>270</v>
      </c>
      <c r="I56" s="18" t="s">
        <v>271</v>
      </c>
      <c r="J56" s="19" t="s">
        <v>57</v>
      </c>
      <c r="K56" s="20" t="s">
        <v>58</v>
      </c>
      <c r="L56" s="21">
        <v>0.0</v>
      </c>
      <c r="M56" s="22"/>
      <c r="N56" s="22"/>
      <c r="O56" s="22"/>
      <c r="P56" s="22"/>
      <c r="Q56" s="20" t="s">
        <v>59</v>
      </c>
      <c r="R56" s="22"/>
      <c r="S56" s="23" t="s">
        <v>304</v>
      </c>
    </row>
    <row r="57" ht="15.75" customHeight="1">
      <c r="A57" s="17" t="s">
        <v>305</v>
      </c>
      <c r="B57" s="18" t="s">
        <v>265</v>
      </c>
      <c r="C57" s="18" t="s">
        <v>306</v>
      </c>
      <c r="D57" s="18" t="s">
        <v>51</v>
      </c>
      <c r="E57" s="18" t="s">
        <v>307</v>
      </c>
      <c r="F57" s="18" t="s">
        <v>53</v>
      </c>
      <c r="G57" s="18" t="s">
        <v>276</v>
      </c>
      <c r="H57" s="18" t="s">
        <v>270</v>
      </c>
      <c r="I57" s="18" t="s">
        <v>271</v>
      </c>
      <c r="J57" s="25" t="s">
        <v>232</v>
      </c>
      <c r="K57" s="20" t="s">
        <v>58</v>
      </c>
      <c r="L57" s="21">
        <v>0.0</v>
      </c>
      <c r="M57" s="22"/>
      <c r="N57" s="22"/>
      <c r="O57" s="22"/>
      <c r="P57" s="22"/>
      <c r="Q57" s="20" t="s">
        <v>59</v>
      </c>
      <c r="R57" s="22"/>
      <c r="S57" s="23" t="s">
        <v>308</v>
      </c>
    </row>
    <row r="58" ht="15.75" customHeight="1">
      <c r="A58" s="17" t="s">
        <v>309</v>
      </c>
      <c r="B58" s="18" t="s">
        <v>265</v>
      </c>
      <c r="C58" s="18" t="s">
        <v>310</v>
      </c>
      <c r="D58" s="18" t="s">
        <v>51</v>
      </c>
      <c r="E58" s="18" t="s">
        <v>311</v>
      </c>
      <c r="F58" s="18" t="s">
        <v>53</v>
      </c>
      <c r="G58" s="18" t="s">
        <v>276</v>
      </c>
      <c r="H58" s="18" t="s">
        <v>270</v>
      </c>
      <c r="I58" s="18" t="s">
        <v>271</v>
      </c>
      <c r="J58" s="25" t="s">
        <v>232</v>
      </c>
      <c r="K58" s="20" t="s">
        <v>58</v>
      </c>
      <c r="L58" s="21">
        <v>0.0</v>
      </c>
      <c r="M58" s="22"/>
      <c r="N58" s="22"/>
      <c r="O58" s="22"/>
      <c r="P58" s="22"/>
      <c r="Q58" s="20" t="s">
        <v>59</v>
      </c>
      <c r="R58" s="22"/>
      <c r="S58" s="23" t="s">
        <v>312</v>
      </c>
    </row>
    <row r="59" ht="15.75" customHeight="1">
      <c r="A59" s="17" t="s">
        <v>313</v>
      </c>
      <c r="B59" s="18" t="s">
        <v>265</v>
      </c>
      <c r="C59" s="18" t="s">
        <v>314</v>
      </c>
      <c r="D59" s="18" t="s">
        <v>108</v>
      </c>
      <c r="E59" s="18" t="s">
        <v>315</v>
      </c>
      <c r="F59" s="18" t="s">
        <v>316</v>
      </c>
      <c r="G59" s="18" t="s">
        <v>276</v>
      </c>
      <c r="H59" s="18" t="s">
        <v>270</v>
      </c>
      <c r="I59" s="18" t="s">
        <v>271</v>
      </c>
      <c r="J59" s="19" t="s">
        <v>57</v>
      </c>
      <c r="K59" s="20" t="s">
        <v>58</v>
      </c>
      <c r="L59" s="21">
        <v>0.0</v>
      </c>
      <c r="M59" s="22"/>
      <c r="N59" s="22"/>
      <c r="O59" s="22"/>
      <c r="P59" s="22"/>
      <c r="Q59" s="20" t="s">
        <v>59</v>
      </c>
      <c r="R59" s="22"/>
      <c r="S59" s="23" t="s">
        <v>317</v>
      </c>
    </row>
    <row r="60" ht="15.75" customHeight="1">
      <c r="A60" s="17" t="s">
        <v>318</v>
      </c>
      <c r="B60" s="18" t="s">
        <v>265</v>
      </c>
      <c r="C60" s="18" t="s">
        <v>319</v>
      </c>
      <c r="D60" s="18" t="s">
        <v>87</v>
      </c>
      <c r="E60" s="18" t="s">
        <v>320</v>
      </c>
      <c r="F60" s="18" t="s">
        <v>53</v>
      </c>
      <c r="G60" s="18" t="s">
        <v>276</v>
      </c>
      <c r="H60" s="18" t="s">
        <v>270</v>
      </c>
      <c r="I60" s="18" t="s">
        <v>271</v>
      </c>
      <c r="J60" s="19" t="s">
        <v>57</v>
      </c>
      <c r="K60" s="20" t="s">
        <v>58</v>
      </c>
      <c r="L60" s="21">
        <v>0.0</v>
      </c>
      <c r="M60" s="22"/>
      <c r="N60" s="22"/>
      <c r="O60" s="22"/>
      <c r="P60" s="22"/>
      <c r="Q60" s="20" t="s">
        <v>59</v>
      </c>
      <c r="R60" s="22"/>
      <c r="S60" s="23" t="s">
        <v>321</v>
      </c>
    </row>
    <row r="61" ht="15.75" customHeight="1">
      <c r="A61" s="17" t="s">
        <v>322</v>
      </c>
      <c r="B61" s="18" t="s">
        <v>265</v>
      </c>
      <c r="C61" s="18" t="s">
        <v>323</v>
      </c>
      <c r="D61" s="18" t="s">
        <v>87</v>
      </c>
      <c r="E61" s="18" t="s">
        <v>324</v>
      </c>
      <c r="F61" s="18" t="s">
        <v>53</v>
      </c>
      <c r="G61" s="18" t="s">
        <v>276</v>
      </c>
      <c r="H61" s="18" t="s">
        <v>270</v>
      </c>
      <c r="I61" s="18" t="s">
        <v>271</v>
      </c>
      <c r="J61" s="19" t="s">
        <v>57</v>
      </c>
      <c r="K61" s="20" t="s">
        <v>58</v>
      </c>
      <c r="L61" s="21">
        <v>0.0</v>
      </c>
      <c r="M61" s="22"/>
      <c r="N61" s="22"/>
      <c r="O61" s="22"/>
      <c r="P61" s="22"/>
      <c r="Q61" s="20" t="s">
        <v>59</v>
      </c>
      <c r="R61" s="22"/>
      <c r="S61" s="23" t="s">
        <v>325</v>
      </c>
    </row>
    <row r="62" ht="15.75" customHeight="1">
      <c r="A62" s="17" t="s">
        <v>326</v>
      </c>
      <c r="B62" s="18" t="s">
        <v>265</v>
      </c>
      <c r="C62" s="18" t="s">
        <v>327</v>
      </c>
      <c r="D62" s="18" t="s">
        <v>51</v>
      </c>
      <c r="E62" s="18" t="s">
        <v>328</v>
      </c>
      <c r="F62" s="18" t="s">
        <v>53</v>
      </c>
      <c r="G62" s="18" t="s">
        <v>276</v>
      </c>
      <c r="H62" s="18" t="s">
        <v>270</v>
      </c>
      <c r="I62" s="18" t="s">
        <v>271</v>
      </c>
      <c r="J62" s="19" t="s">
        <v>57</v>
      </c>
      <c r="K62" s="20" t="s">
        <v>58</v>
      </c>
      <c r="L62" s="21">
        <v>0.0</v>
      </c>
      <c r="M62" s="22"/>
      <c r="N62" s="22"/>
      <c r="O62" s="22"/>
      <c r="P62" s="22"/>
      <c r="Q62" s="20" t="s">
        <v>59</v>
      </c>
      <c r="R62" s="22"/>
      <c r="S62" s="23" t="s">
        <v>329</v>
      </c>
    </row>
    <row r="63" ht="15.75" customHeight="1">
      <c r="A63" s="17" t="s">
        <v>330</v>
      </c>
      <c r="B63" s="18" t="s">
        <v>265</v>
      </c>
      <c r="C63" s="18" t="s">
        <v>331</v>
      </c>
      <c r="D63" s="18" t="s">
        <v>87</v>
      </c>
      <c r="E63" s="18" t="s">
        <v>328</v>
      </c>
      <c r="F63" s="18" t="s">
        <v>53</v>
      </c>
      <c r="G63" s="18" t="s">
        <v>276</v>
      </c>
      <c r="H63" s="18" t="s">
        <v>270</v>
      </c>
      <c r="I63" s="18" t="s">
        <v>271</v>
      </c>
      <c r="J63" s="19" t="s">
        <v>57</v>
      </c>
      <c r="K63" s="20" t="s">
        <v>58</v>
      </c>
      <c r="L63" s="21">
        <v>0.0</v>
      </c>
      <c r="M63" s="22"/>
      <c r="N63" s="22"/>
      <c r="O63" s="22"/>
      <c r="P63" s="22"/>
      <c r="Q63" s="20" t="s">
        <v>59</v>
      </c>
      <c r="R63" s="22"/>
      <c r="S63" s="23" t="s">
        <v>332</v>
      </c>
    </row>
    <row r="64" ht="15.75" customHeight="1">
      <c r="A64" s="17" t="s">
        <v>333</v>
      </c>
      <c r="B64" s="18" t="s">
        <v>265</v>
      </c>
      <c r="C64" s="18" t="s">
        <v>334</v>
      </c>
      <c r="D64" s="18" t="s">
        <v>51</v>
      </c>
      <c r="E64" s="18" t="s">
        <v>335</v>
      </c>
      <c r="F64" s="18" t="s">
        <v>336</v>
      </c>
      <c r="G64" s="18" t="s">
        <v>276</v>
      </c>
      <c r="H64" s="18" t="s">
        <v>270</v>
      </c>
      <c r="I64" s="18" t="s">
        <v>271</v>
      </c>
      <c r="J64" s="19" t="s">
        <v>57</v>
      </c>
      <c r="K64" s="20" t="s">
        <v>58</v>
      </c>
      <c r="L64" s="21">
        <v>0.0</v>
      </c>
      <c r="M64" s="22"/>
      <c r="N64" s="22"/>
      <c r="O64" s="22"/>
      <c r="P64" s="22"/>
      <c r="Q64" s="20" t="s">
        <v>59</v>
      </c>
      <c r="R64" s="22"/>
      <c r="S64" s="23" t="s">
        <v>337</v>
      </c>
    </row>
    <row r="65" ht="15.75" customHeight="1">
      <c r="A65" s="17" t="s">
        <v>338</v>
      </c>
      <c r="B65" s="18" t="s">
        <v>265</v>
      </c>
      <c r="C65" s="18" t="s">
        <v>339</v>
      </c>
      <c r="D65" s="18" t="s">
        <v>51</v>
      </c>
      <c r="E65" s="18" t="s">
        <v>340</v>
      </c>
      <c r="F65" s="18" t="s">
        <v>336</v>
      </c>
      <c r="G65" s="18" t="s">
        <v>276</v>
      </c>
      <c r="H65" s="18" t="s">
        <v>270</v>
      </c>
      <c r="I65" s="18" t="s">
        <v>271</v>
      </c>
      <c r="J65" s="19" t="s">
        <v>57</v>
      </c>
      <c r="K65" s="20" t="s">
        <v>58</v>
      </c>
      <c r="L65" s="21">
        <v>0.0</v>
      </c>
      <c r="M65" s="22"/>
      <c r="N65" s="22"/>
      <c r="O65" s="22"/>
      <c r="P65" s="22"/>
      <c r="Q65" s="20" t="s">
        <v>59</v>
      </c>
      <c r="R65" s="22"/>
      <c r="S65" s="23" t="s">
        <v>341</v>
      </c>
    </row>
    <row r="66" ht="15.75" customHeight="1">
      <c r="A66" s="17" t="s">
        <v>342</v>
      </c>
      <c r="B66" s="18" t="s">
        <v>265</v>
      </c>
      <c r="C66" s="18" t="s">
        <v>343</v>
      </c>
      <c r="D66" s="18" t="s">
        <v>51</v>
      </c>
      <c r="E66" s="18" t="s">
        <v>344</v>
      </c>
      <c r="F66" s="18" t="s">
        <v>53</v>
      </c>
      <c r="G66" s="18" t="s">
        <v>276</v>
      </c>
      <c r="H66" s="18" t="s">
        <v>345</v>
      </c>
      <c r="I66" s="18" t="s">
        <v>271</v>
      </c>
      <c r="J66" s="19" t="s">
        <v>57</v>
      </c>
      <c r="K66" s="20" t="s">
        <v>58</v>
      </c>
      <c r="L66" s="21">
        <v>0.0</v>
      </c>
      <c r="M66" s="22"/>
      <c r="N66" s="22"/>
      <c r="O66" s="22"/>
      <c r="P66" s="22"/>
      <c r="Q66" s="20" t="s">
        <v>59</v>
      </c>
      <c r="R66" s="22"/>
      <c r="S66" s="23" t="s">
        <v>346</v>
      </c>
    </row>
    <row r="67" ht="15.75" customHeight="1">
      <c r="A67" s="17" t="s">
        <v>347</v>
      </c>
      <c r="B67" s="18" t="s">
        <v>265</v>
      </c>
      <c r="C67" s="18" t="s">
        <v>348</v>
      </c>
      <c r="D67" s="18" t="s">
        <v>349</v>
      </c>
      <c r="E67" s="18" t="s">
        <v>350</v>
      </c>
      <c r="F67" s="18" t="s">
        <v>53</v>
      </c>
      <c r="G67" s="18" t="s">
        <v>276</v>
      </c>
      <c r="H67" s="18" t="s">
        <v>345</v>
      </c>
      <c r="I67" s="18" t="s">
        <v>271</v>
      </c>
      <c r="J67" s="19" t="s">
        <v>57</v>
      </c>
      <c r="K67" s="20" t="s">
        <v>58</v>
      </c>
      <c r="L67" s="21">
        <v>0.0</v>
      </c>
      <c r="M67" s="22"/>
      <c r="N67" s="22"/>
      <c r="O67" s="22"/>
      <c r="P67" s="22"/>
      <c r="Q67" s="20" t="s">
        <v>59</v>
      </c>
      <c r="R67" s="22"/>
      <c r="S67" s="23" t="s">
        <v>351</v>
      </c>
    </row>
    <row r="68" ht="15.75" customHeight="1">
      <c r="A68" s="17" t="s">
        <v>352</v>
      </c>
      <c r="B68" s="18" t="s">
        <v>265</v>
      </c>
      <c r="C68" s="18" t="s">
        <v>353</v>
      </c>
      <c r="D68" s="18" t="s">
        <v>51</v>
      </c>
      <c r="E68" s="18" t="s">
        <v>354</v>
      </c>
      <c r="F68" s="18" t="s">
        <v>53</v>
      </c>
      <c r="G68" s="18" t="s">
        <v>276</v>
      </c>
      <c r="H68" s="18" t="s">
        <v>345</v>
      </c>
      <c r="I68" s="18" t="s">
        <v>271</v>
      </c>
      <c r="J68" s="19" t="s">
        <v>57</v>
      </c>
      <c r="K68" s="20" t="s">
        <v>58</v>
      </c>
      <c r="L68" s="21">
        <v>0.0</v>
      </c>
      <c r="M68" s="22"/>
      <c r="N68" s="22"/>
      <c r="O68" s="22"/>
      <c r="P68" s="22"/>
      <c r="Q68" s="20" t="s">
        <v>59</v>
      </c>
      <c r="R68" s="22"/>
      <c r="S68" s="23" t="s">
        <v>355</v>
      </c>
    </row>
    <row r="69" ht="15.75" customHeight="1">
      <c r="A69" s="17" t="s">
        <v>356</v>
      </c>
      <c r="B69" s="18" t="s">
        <v>265</v>
      </c>
      <c r="C69" s="18" t="s">
        <v>357</v>
      </c>
      <c r="D69" s="18" t="s">
        <v>51</v>
      </c>
      <c r="E69" s="18" t="s">
        <v>358</v>
      </c>
      <c r="F69" s="18" t="s">
        <v>53</v>
      </c>
      <c r="G69" s="18" t="s">
        <v>276</v>
      </c>
      <c r="H69" s="18" t="s">
        <v>359</v>
      </c>
      <c r="I69" s="18" t="s">
        <v>271</v>
      </c>
      <c r="J69" s="19" t="s">
        <v>57</v>
      </c>
      <c r="K69" s="20" t="s">
        <v>58</v>
      </c>
      <c r="L69" s="21">
        <v>0.0</v>
      </c>
      <c r="M69" s="22"/>
      <c r="N69" s="22"/>
      <c r="O69" s="22"/>
      <c r="P69" s="22"/>
      <c r="Q69" s="20" t="s">
        <v>59</v>
      </c>
      <c r="R69" s="22"/>
      <c r="S69" s="23" t="s">
        <v>360</v>
      </c>
    </row>
    <row r="70" ht="15.75" customHeight="1">
      <c r="A70" s="17" t="s">
        <v>361</v>
      </c>
      <c r="B70" s="18" t="s">
        <v>265</v>
      </c>
      <c r="C70" s="18" t="s">
        <v>362</v>
      </c>
      <c r="D70" s="18" t="s">
        <v>108</v>
      </c>
      <c r="E70" s="18" t="s">
        <v>363</v>
      </c>
      <c r="F70" s="18" t="s">
        <v>364</v>
      </c>
      <c r="G70" s="18" t="s">
        <v>269</v>
      </c>
      <c r="H70" s="18" t="s">
        <v>359</v>
      </c>
      <c r="I70" s="18" t="s">
        <v>271</v>
      </c>
      <c r="J70" s="19" t="s">
        <v>57</v>
      </c>
      <c r="K70" s="20" t="s">
        <v>58</v>
      </c>
      <c r="L70" s="21">
        <v>0.0</v>
      </c>
      <c r="M70" s="22"/>
      <c r="N70" s="22"/>
      <c r="O70" s="22"/>
      <c r="P70" s="22"/>
      <c r="Q70" s="20" t="s">
        <v>59</v>
      </c>
      <c r="R70" s="22"/>
      <c r="S70" s="23" t="s">
        <v>365</v>
      </c>
    </row>
    <row r="71" ht="15.75" customHeight="1">
      <c r="A71" s="17" t="s">
        <v>366</v>
      </c>
      <c r="B71" s="18" t="s">
        <v>265</v>
      </c>
      <c r="C71" s="18" t="s">
        <v>367</v>
      </c>
      <c r="D71" s="18" t="s">
        <v>108</v>
      </c>
      <c r="E71" s="18" t="s">
        <v>368</v>
      </c>
      <c r="F71" s="18" t="s">
        <v>369</v>
      </c>
      <c r="G71" s="18" t="s">
        <v>269</v>
      </c>
      <c r="H71" s="18" t="s">
        <v>359</v>
      </c>
      <c r="I71" s="18" t="s">
        <v>271</v>
      </c>
      <c r="J71" s="19" t="s">
        <v>57</v>
      </c>
      <c r="K71" s="20" t="s">
        <v>58</v>
      </c>
      <c r="L71" s="21">
        <v>0.0</v>
      </c>
      <c r="M71" s="22"/>
      <c r="N71" s="22"/>
      <c r="O71" s="22"/>
      <c r="P71" s="22"/>
      <c r="Q71" s="20" t="s">
        <v>59</v>
      </c>
      <c r="R71" s="22"/>
      <c r="S71" s="23" t="s">
        <v>370</v>
      </c>
    </row>
    <row r="72" ht="15.75" customHeight="1">
      <c r="A72" s="17" t="s">
        <v>371</v>
      </c>
      <c r="B72" s="18" t="s">
        <v>265</v>
      </c>
      <c r="C72" s="18" t="s">
        <v>372</v>
      </c>
      <c r="D72" s="18" t="s">
        <v>51</v>
      </c>
      <c r="E72" s="18" t="s">
        <v>373</v>
      </c>
      <c r="F72" s="18" t="s">
        <v>336</v>
      </c>
      <c r="G72" s="18" t="s">
        <v>276</v>
      </c>
      <c r="H72" s="18" t="s">
        <v>359</v>
      </c>
      <c r="I72" s="18" t="s">
        <v>271</v>
      </c>
      <c r="J72" s="19" t="s">
        <v>57</v>
      </c>
      <c r="K72" s="20" t="s">
        <v>58</v>
      </c>
      <c r="L72" s="21">
        <v>0.0</v>
      </c>
      <c r="M72" s="22"/>
      <c r="N72" s="22"/>
      <c r="O72" s="22"/>
      <c r="P72" s="22"/>
      <c r="Q72" s="20" t="s">
        <v>59</v>
      </c>
      <c r="R72" s="22"/>
      <c r="S72" s="24" t="s">
        <v>374</v>
      </c>
    </row>
    <row r="73" ht="15.75" customHeight="1">
      <c r="A73" s="17" t="s">
        <v>375</v>
      </c>
      <c r="B73" s="18" t="s">
        <v>265</v>
      </c>
      <c r="C73" s="18" t="s">
        <v>376</v>
      </c>
      <c r="D73" s="18" t="s">
        <v>51</v>
      </c>
      <c r="E73" s="18" t="s">
        <v>377</v>
      </c>
      <c r="F73" s="18" t="s">
        <v>53</v>
      </c>
      <c r="G73" s="18" t="s">
        <v>276</v>
      </c>
      <c r="H73" s="18" t="s">
        <v>378</v>
      </c>
      <c r="I73" s="18" t="s">
        <v>271</v>
      </c>
      <c r="J73" s="19" t="s">
        <v>57</v>
      </c>
      <c r="K73" s="20" t="s">
        <v>58</v>
      </c>
      <c r="L73" s="21">
        <v>0.0</v>
      </c>
      <c r="M73" s="22"/>
      <c r="N73" s="22"/>
      <c r="O73" s="22"/>
      <c r="P73" s="22"/>
      <c r="Q73" s="20" t="s">
        <v>59</v>
      </c>
      <c r="R73" s="22"/>
      <c r="S73" s="23" t="s">
        <v>379</v>
      </c>
    </row>
    <row r="74" ht="15.75" customHeight="1">
      <c r="A74" s="17" t="s">
        <v>380</v>
      </c>
      <c r="B74" s="18" t="s">
        <v>265</v>
      </c>
      <c r="C74" s="18" t="s">
        <v>381</v>
      </c>
      <c r="D74" s="18" t="s">
        <v>108</v>
      </c>
      <c r="E74" s="18" t="s">
        <v>382</v>
      </c>
      <c r="F74" s="18" t="s">
        <v>383</v>
      </c>
      <c r="G74" s="18" t="s">
        <v>269</v>
      </c>
      <c r="H74" s="18" t="s">
        <v>359</v>
      </c>
      <c r="I74" s="18" t="s">
        <v>271</v>
      </c>
      <c r="J74" s="19" t="s">
        <v>57</v>
      </c>
      <c r="K74" s="20" t="s">
        <v>58</v>
      </c>
      <c r="L74" s="21">
        <v>0.0</v>
      </c>
      <c r="M74" s="22"/>
      <c r="N74" s="22"/>
      <c r="O74" s="22"/>
      <c r="P74" s="22"/>
      <c r="Q74" s="20" t="s">
        <v>59</v>
      </c>
      <c r="R74" s="22"/>
      <c r="S74" s="23" t="s">
        <v>384</v>
      </c>
    </row>
    <row r="75" ht="15.75" customHeight="1">
      <c r="A75" s="17" t="s">
        <v>385</v>
      </c>
      <c r="B75" s="18" t="s">
        <v>265</v>
      </c>
      <c r="C75" s="18" t="s">
        <v>386</v>
      </c>
      <c r="D75" s="18" t="s">
        <v>51</v>
      </c>
      <c r="E75" s="18" t="s">
        <v>387</v>
      </c>
      <c r="F75" s="18" t="s">
        <v>336</v>
      </c>
      <c r="G75" s="18" t="s">
        <v>276</v>
      </c>
      <c r="H75" s="18" t="s">
        <v>359</v>
      </c>
      <c r="I75" s="18" t="s">
        <v>271</v>
      </c>
      <c r="J75" s="19" t="s">
        <v>57</v>
      </c>
      <c r="K75" s="20" t="s">
        <v>58</v>
      </c>
      <c r="L75" s="21">
        <v>0.0</v>
      </c>
      <c r="M75" s="22"/>
      <c r="N75" s="22"/>
      <c r="O75" s="22"/>
      <c r="P75" s="22"/>
      <c r="Q75" s="20" t="s">
        <v>59</v>
      </c>
      <c r="R75" s="22"/>
      <c r="S75" s="23" t="s">
        <v>388</v>
      </c>
    </row>
    <row r="76" ht="15.75" customHeight="1">
      <c r="A76" s="17" t="s">
        <v>389</v>
      </c>
      <c r="B76" s="18" t="s">
        <v>265</v>
      </c>
      <c r="C76" s="18" t="s">
        <v>390</v>
      </c>
      <c r="D76" s="18" t="s">
        <v>151</v>
      </c>
      <c r="E76" s="18" t="s">
        <v>391</v>
      </c>
      <c r="F76" s="18" t="s">
        <v>268</v>
      </c>
      <c r="G76" s="18" t="s">
        <v>269</v>
      </c>
      <c r="H76" s="18" t="s">
        <v>378</v>
      </c>
      <c r="I76" s="18" t="s">
        <v>271</v>
      </c>
      <c r="J76" s="19" t="s">
        <v>57</v>
      </c>
      <c r="K76" s="20" t="s">
        <v>58</v>
      </c>
      <c r="L76" s="21">
        <v>0.0</v>
      </c>
      <c r="M76" s="22"/>
      <c r="N76" s="22"/>
      <c r="O76" s="22"/>
      <c r="P76" s="22"/>
      <c r="Q76" s="20" t="s">
        <v>59</v>
      </c>
      <c r="R76" s="22"/>
      <c r="S76" s="23" t="s">
        <v>392</v>
      </c>
    </row>
    <row r="77" ht="15.75" customHeight="1">
      <c r="A77" s="17" t="s">
        <v>393</v>
      </c>
      <c r="B77" s="18" t="s">
        <v>265</v>
      </c>
      <c r="C77" s="18" t="s">
        <v>394</v>
      </c>
      <c r="D77" s="18" t="s">
        <v>395</v>
      </c>
      <c r="E77" s="18" t="s">
        <v>396</v>
      </c>
      <c r="F77" s="18" t="s">
        <v>397</v>
      </c>
      <c r="G77" s="18" t="s">
        <v>398</v>
      </c>
      <c r="H77" s="18" t="s">
        <v>270</v>
      </c>
      <c r="I77" s="18" t="s">
        <v>271</v>
      </c>
      <c r="J77" s="19" t="s">
        <v>57</v>
      </c>
      <c r="K77" s="20" t="s">
        <v>58</v>
      </c>
      <c r="L77" s="21">
        <v>0.0</v>
      </c>
      <c r="M77" s="22"/>
      <c r="N77" s="22"/>
      <c r="O77" s="22"/>
      <c r="P77" s="22"/>
      <c r="Q77" s="20" t="s">
        <v>59</v>
      </c>
      <c r="R77" s="22"/>
      <c r="S77" s="23" t="s">
        <v>399</v>
      </c>
    </row>
    <row r="78" ht="15.75" customHeight="1">
      <c r="A78" s="17" t="s">
        <v>400</v>
      </c>
      <c r="B78" s="18" t="s">
        <v>265</v>
      </c>
      <c r="C78" s="18" t="s">
        <v>401</v>
      </c>
      <c r="D78" s="18" t="s">
        <v>402</v>
      </c>
      <c r="E78" s="18" t="s">
        <v>403</v>
      </c>
      <c r="F78" s="18" t="s">
        <v>404</v>
      </c>
      <c r="G78" s="18" t="s">
        <v>404</v>
      </c>
      <c r="H78" s="18" t="s">
        <v>270</v>
      </c>
      <c r="I78" s="18" t="s">
        <v>271</v>
      </c>
      <c r="J78" s="19" t="s">
        <v>57</v>
      </c>
      <c r="K78" s="20" t="s">
        <v>58</v>
      </c>
      <c r="L78" s="21">
        <v>0.0</v>
      </c>
      <c r="M78" s="22"/>
      <c r="N78" s="22"/>
      <c r="O78" s="22"/>
      <c r="P78" s="22"/>
      <c r="Q78" s="20" t="s">
        <v>59</v>
      </c>
      <c r="R78" s="22"/>
      <c r="S78" s="23" t="s">
        <v>405</v>
      </c>
    </row>
    <row r="79" ht="15.75" customHeight="1">
      <c r="A79" s="17" t="s">
        <v>406</v>
      </c>
      <c r="B79" s="18" t="s">
        <v>265</v>
      </c>
      <c r="C79" s="18" t="s">
        <v>407</v>
      </c>
      <c r="D79" s="18" t="s">
        <v>408</v>
      </c>
      <c r="E79" s="18" t="s">
        <v>409</v>
      </c>
      <c r="F79" s="18" t="s">
        <v>410</v>
      </c>
      <c r="G79" s="18" t="s">
        <v>410</v>
      </c>
      <c r="H79" s="18" t="s">
        <v>359</v>
      </c>
      <c r="I79" s="18" t="s">
        <v>271</v>
      </c>
      <c r="J79" s="19" t="s">
        <v>57</v>
      </c>
      <c r="K79" s="20" t="s">
        <v>58</v>
      </c>
      <c r="L79" s="21">
        <v>0.0</v>
      </c>
      <c r="M79" s="22"/>
      <c r="N79" s="22"/>
      <c r="O79" s="22"/>
      <c r="P79" s="22"/>
      <c r="Q79" s="20" t="s">
        <v>59</v>
      </c>
      <c r="R79" s="22"/>
      <c r="S79" s="23" t="s">
        <v>411</v>
      </c>
    </row>
    <row r="80" ht="15.75" customHeight="1">
      <c r="A80" s="17" t="s">
        <v>412</v>
      </c>
      <c r="B80" s="18" t="s">
        <v>265</v>
      </c>
      <c r="C80" s="18" t="s">
        <v>413</v>
      </c>
      <c r="D80" s="18" t="s">
        <v>414</v>
      </c>
      <c r="E80" s="18" t="s">
        <v>415</v>
      </c>
      <c r="F80" s="18" t="s">
        <v>416</v>
      </c>
      <c r="G80" s="18" t="s">
        <v>416</v>
      </c>
      <c r="H80" s="18" t="s">
        <v>359</v>
      </c>
      <c r="I80" s="18" t="s">
        <v>271</v>
      </c>
      <c r="J80" s="19" t="s">
        <v>57</v>
      </c>
      <c r="K80" s="20" t="s">
        <v>58</v>
      </c>
      <c r="L80" s="21">
        <v>0.0</v>
      </c>
      <c r="M80" s="22"/>
      <c r="N80" s="22"/>
      <c r="O80" s="22"/>
      <c r="P80" s="22"/>
      <c r="Q80" s="20" t="s">
        <v>59</v>
      </c>
      <c r="R80" s="22"/>
      <c r="S80" s="23" t="s">
        <v>417</v>
      </c>
    </row>
    <row r="81" ht="15.75" customHeight="1">
      <c r="A81" s="17" t="s">
        <v>418</v>
      </c>
      <c r="B81" s="18" t="s">
        <v>419</v>
      </c>
      <c r="C81" s="18" t="s">
        <v>420</v>
      </c>
      <c r="D81" s="18" t="s">
        <v>421</v>
      </c>
      <c r="E81" s="18" t="s">
        <v>422</v>
      </c>
      <c r="F81" s="18" t="s">
        <v>53</v>
      </c>
      <c r="G81" s="18" t="s">
        <v>423</v>
      </c>
      <c r="H81" s="18" t="s">
        <v>112</v>
      </c>
      <c r="I81" s="18" t="s">
        <v>424</v>
      </c>
      <c r="J81" s="19" t="s">
        <v>57</v>
      </c>
      <c r="K81" s="20" t="s">
        <v>58</v>
      </c>
      <c r="L81" s="21">
        <v>0.0</v>
      </c>
      <c r="M81" s="22"/>
      <c r="N81" s="22"/>
      <c r="O81" s="22"/>
      <c r="P81" s="22"/>
      <c r="Q81" s="20" t="s">
        <v>59</v>
      </c>
      <c r="R81" s="22"/>
      <c r="S81" s="23" t="s">
        <v>425</v>
      </c>
    </row>
    <row r="82" ht="15.75" customHeight="1">
      <c r="A82" s="17" t="s">
        <v>426</v>
      </c>
      <c r="B82" s="18" t="s">
        <v>419</v>
      </c>
      <c r="C82" s="18" t="s">
        <v>427</v>
      </c>
      <c r="D82" s="18" t="s">
        <v>421</v>
      </c>
      <c r="E82" s="18" t="s">
        <v>428</v>
      </c>
      <c r="F82" s="18" t="s">
        <v>53</v>
      </c>
      <c r="G82" s="18" t="s">
        <v>423</v>
      </c>
      <c r="H82" s="18" t="s">
        <v>112</v>
      </c>
      <c r="I82" s="18" t="s">
        <v>424</v>
      </c>
      <c r="J82" s="19" t="s">
        <v>57</v>
      </c>
      <c r="K82" s="20" t="s">
        <v>58</v>
      </c>
      <c r="L82" s="21">
        <v>0.0</v>
      </c>
      <c r="M82" s="22"/>
      <c r="N82" s="22"/>
      <c r="O82" s="22"/>
      <c r="P82" s="22"/>
      <c r="Q82" s="20" t="s">
        <v>59</v>
      </c>
      <c r="R82" s="22"/>
      <c r="S82" s="23" t="s">
        <v>429</v>
      </c>
    </row>
    <row r="83" ht="15.75" customHeight="1">
      <c r="A83" s="17" t="s">
        <v>430</v>
      </c>
      <c r="B83" s="18" t="s">
        <v>419</v>
      </c>
      <c r="C83" s="18" t="s">
        <v>431</v>
      </c>
      <c r="D83" s="18" t="s">
        <v>421</v>
      </c>
      <c r="E83" s="18" t="s">
        <v>432</v>
      </c>
      <c r="F83" s="18" t="s">
        <v>53</v>
      </c>
      <c r="G83" s="18" t="s">
        <v>423</v>
      </c>
      <c r="H83" s="18" t="s">
        <v>112</v>
      </c>
      <c r="I83" s="18" t="s">
        <v>424</v>
      </c>
      <c r="J83" s="19" t="s">
        <v>57</v>
      </c>
      <c r="K83" s="20" t="s">
        <v>58</v>
      </c>
      <c r="L83" s="21">
        <v>0.0</v>
      </c>
      <c r="M83" s="22"/>
      <c r="N83" s="22"/>
      <c r="O83" s="22"/>
      <c r="P83" s="22"/>
      <c r="Q83" s="20" t="s">
        <v>59</v>
      </c>
      <c r="R83" s="22"/>
      <c r="S83" s="23" t="s">
        <v>433</v>
      </c>
    </row>
    <row r="84" ht="15.75" customHeight="1">
      <c r="A84" s="17" t="s">
        <v>434</v>
      </c>
      <c r="B84" s="18" t="s">
        <v>419</v>
      </c>
      <c r="C84" s="18" t="s">
        <v>435</v>
      </c>
      <c r="D84" s="18" t="s">
        <v>421</v>
      </c>
      <c r="E84" s="18" t="s">
        <v>350</v>
      </c>
      <c r="F84" s="18" t="s">
        <v>53</v>
      </c>
      <c r="G84" s="18" t="s">
        <v>423</v>
      </c>
      <c r="H84" s="18" t="s">
        <v>345</v>
      </c>
      <c r="I84" s="18" t="s">
        <v>436</v>
      </c>
      <c r="J84" s="19" t="s">
        <v>57</v>
      </c>
      <c r="K84" s="20" t="s">
        <v>58</v>
      </c>
      <c r="L84" s="21">
        <v>0.0</v>
      </c>
      <c r="M84" s="22"/>
      <c r="N84" s="22"/>
      <c r="O84" s="22"/>
      <c r="P84" s="22"/>
      <c r="Q84" s="20" t="s">
        <v>59</v>
      </c>
      <c r="R84" s="22"/>
      <c r="S84" s="23" t="s">
        <v>437</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R1"/>
    <mergeCell ref="A2:J2"/>
    <mergeCell ref="K2:R2"/>
  </mergeCells>
  <conditionalFormatting sqref="K4:K84">
    <cfRule type="cellIs" dxfId="0" priority="1" operator="equal">
      <formula>"No iniciado"</formula>
    </cfRule>
  </conditionalFormatting>
  <conditionalFormatting sqref="K4:K84">
    <cfRule type="cellIs" dxfId="1" priority="2" operator="equal">
      <formula>"En diseño"</formula>
    </cfRule>
  </conditionalFormatting>
  <conditionalFormatting sqref="K4:K84">
    <cfRule type="cellIs" dxfId="2" priority="3" operator="equal">
      <formula>"En construcción"</formula>
    </cfRule>
  </conditionalFormatting>
  <conditionalFormatting sqref="K4:K84">
    <cfRule type="cellIs" dxfId="3" priority="4" operator="equal">
      <formula>"En pruebas"</formula>
    </cfRule>
  </conditionalFormatting>
  <conditionalFormatting sqref="K4:K84">
    <cfRule type="cellIs" dxfId="4" priority="5" operator="equal">
      <formula>"Implementado"</formula>
    </cfRule>
  </conditionalFormatting>
  <conditionalFormatting sqref="K4:K84">
    <cfRule type="cellIs" dxfId="5" priority="6" operator="equal">
      <formula>"En revisión Monific"</formula>
    </cfRule>
  </conditionalFormatting>
  <conditionalFormatting sqref="K4:K84">
    <cfRule type="cellIs" dxfId="6" priority="7" operator="equal">
      <formula>"Aprobado"</formula>
    </cfRule>
  </conditionalFormatting>
  <conditionalFormatting sqref="K4:K84">
    <cfRule type="cellIs" dxfId="7" priority="8" operator="equal">
      <formula>"Bloqueado"</formula>
    </cfRule>
  </conditionalFormatting>
  <conditionalFormatting sqref="Q4:Q84">
    <cfRule type="cellIs" dxfId="6" priority="9" operator="equal">
      <formula>"Validado"</formula>
    </cfRule>
  </conditionalFormatting>
  <conditionalFormatting sqref="Q4:Q84">
    <cfRule type="cellIs" dxfId="7" priority="10" operator="equal">
      <formula>"Rechazado"</formula>
    </cfRule>
  </conditionalFormatting>
  <conditionalFormatting sqref="Q4:Q84">
    <cfRule type="cellIs" dxfId="8" priority="11" operator="equal">
      <formula>"Pendiente"</formula>
    </cfRule>
  </conditionalFormatting>
  <dataValidations>
    <dataValidation type="list" allowBlank="1" sqref="K4:K84">
      <formula1>"No iniciado,En diseño,En construcción,En pruebas,Implementado,En revisión Monific,Aprobado,Bloqueado"</formula1>
    </dataValidation>
    <dataValidation type="list" allowBlank="1" sqref="Q4:Q84">
      <formula1>"Pendiente,Validado,Rechazado"</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0.0"/>
    <col customWidth="1" min="3" max="8" width="14.0"/>
    <col customWidth="1" min="9" max="26" width="8.71"/>
  </cols>
  <sheetData>
    <row r="1">
      <c r="B1" s="1" t="s">
        <v>438</v>
      </c>
    </row>
    <row r="2">
      <c r="B2" s="26" t="s">
        <v>439</v>
      </c>
    </row>
    <row r="4">
      <c r="B4" s="27" t="s">
        <v>440</v>
      </c>
      <c r="C4" s="11"/>
    </row>
    <row r="5">
      <c r="B5" s="28" t="s">
        <v>441</v>
      </c>
      <c r="C5" s="28" t="s">
        <v>442</v>
      </c>
      <c r="D5" s="28" t="s">
        <v>443</v>
      </c>
    </row>
    <row r="6">
      <c r="B6" s="29" t="s">
        <v>58</v>
      </c>
      <c r="C6" s="29">
        <f>COUNTIF(Tracker!$K$4:$K$84,B6)</f>
        <v>81</v>
      </c>
      <c r="D6" s="30">
        <f t="shared" ref="D6:D13" si="1">IF($C$14=0,0,C6/$C$14)</f>
        <v>1</v>
      </c>
    </row>
    <row r="7">
      <c r="B7" s="29" t="s">
        <v>444</v>
      </c>
      <c r="C7" s="29">
        <f>COUNTIF(Tracker!$K$4:$K$84,B7)</f>
        <v>0</v>
      </c>
      <c r="D7" s="30">
        <f t="shared" si="1"/>
        <v>0</v>
      </c>
    </row>
    <row r="8">
      <c r="B8" s="29" t="s">
        <v>445</v>
      </c>
      <c r="C8" s="29">
        <f>COUNTIF(Tracker!$K$4:$K$84,B8)</f>
        <v>0</v>
      </c>
      <c r="D8" s="30">
        <f t="shared" si="1"/>
        <v>0</v>
      </c>
    </row>
    <row r="9">
      <c r="B9" s="29" t="s">
        <v>446</v>
      </c>
      <c r="C9" s="29">
        <f>COUNTIF(Tracker!$K$4:$K$84,B9)</f>
        <v>0</v>
      </c>
      <c r="D9" s="30">
        <f t="shared" si="1"/>
        <v>0</v>
      </c>
    </row>
    <row r="10">
      <c r="B10" s="29" t="s">
        <v>447</v>
      </c>
      <c r="C10" s="29">
        <f>COUNTIF(Tracker!$K$4:$K$84,B10)</f>
        <v>0</v>
      </c>
      <c r="D10" s="30">
        <f t="shared" si="1"/>
        <v>0</v>
      </c>
    </row>
    <row r="11">
      <c r="B11" s="29" t="s">
        <v>448</v>
      </c>
      <c r="C11" s="29">
        <f>COUNTIF(Tracker!$K$4:$K$84,B11)</f>
        <v>0</v>
      </c>
      <c r="D11" s="30">
        <f t="shared" si="1"/>
        <v>0</v>
      </c>
    </row>
    <row r="12">
      <c r="B12" s="29" t="s">
        <v>449</v>
      </c>
      <c r="C12" s="29">
        <f>COUNTIF(Tracker!$K$4:$K$84,B12)</f>
        <v>0</v>
      </c>
      <c r="D12" s="30">
        <f t="shared" si="1"/>
        <v>0</v>
      </c>
    </row>
    <row r="13">
      <c r="B13" s="29" t="s">
        <v>450</v>
      </c>
      <c r="C13" s="29">
        <f>COUNTIF(Tracker!$K$4:$K$84,B13)</f>
        <v>0</v>
      </c>
      <c r="D13" s="30">
        <f t="shared" si="1"/>
        <v>0</v>
      </c>
    </row>
    <row r="14">
      <c r="B14" s="31" t="s">
        <v>451</v>
      </c>
      <c r="C14" s="31">
        <f>SUM(C6:C13)</f>
        <v>81</v>
      </c>
      <c r="D14" s="32">
        <f>IF(C14=0,0,C14/C14)</f>
        <v>1</v>
      </c>
    </row>
    <row r="16">
      <c r="B16" s="27" t="s">
        <v>452</v>
      </c>
      <c r="C16" s="33">
        <f>COUNTIF(Tracker!$K$4:$K$84,"Aprobado")</f>
        <v>0</v>
      </c>
    </row>
    <row r="17">
      <c r="B17" s="34" t="s">
        <v>453</v>
      </c>
      <c r="C17" s="35">
        <f>IF($C$14=0,0,C16/$C$14)</f>
        <v>0</v>
      </c>
    </row>
    <row r="19">
      <c r="B19" s="27" t="s">
        <v>454</v>
      </c>
      <c r="C19" s="11"/>
      <c r="D19" s="11"/>
      <c r="E19" s="11"/>
      <c r="F19" s="11"/>
      <c r="G19" s="11"/>
      <c r="H19" s="11"/>
    </row>
    <row r="20">
      <c r="B20" s="36" t="s">
        <v>31</v>
      </c>
      <c r="C20" s="36" t="s">
        <v>455</v>
      </c>
      <c r="D20" s="36" t="s">
        <v>58</v>
      </c>
      <c r="E20" s="36" t="s">
        <v>456</v>
      </c>
      <c r="F20" s="36" t="s">
        <v>447</v>
      </c>
      <c r="G20" s="36" t="s">
        <v>449</v>
      </c>
      <c r="H20" s="36" t="s">
        <v>450</v>
      </c>
    </row>
    <row r="21" ht="15.75" customHeight="1">
      <c r="B21" s="31" t="s">
        <v>49</v>
      </c>
      <c r="C21" s="37">
        <v>22.0</v>
      </c>
      <c r="D21" s="37">
        <f>COUNTIFS(Tracker!$B$4:$B$84,B21,Tracker!$K$4:$K$84,"No iniciado")</f>
        <v>22</v>
      </c>
      <c r="E21" s="37">
        <f>COUNTIFS(Tracker!$B$4:$B$84,B21,Tracker!$K$4:$K$84,"En diseño")+COUNTIFS(Tracker!$B$4:$B$84,B21,Tracker!$K$4:$K$84,"En construcción")+COUNTIFS(Tracker!$B$4:$B$84,B21,Tracker!$K$4:$K$84,"En pruebas")+COUNTIFS(Tracker!$B$4:$B$84,B21,Tracker!$K$4:$K$84,"En revisión Monific")</f>
        <v>0</v>
      </c>
      <c r="F21" s="37">
        <f>COUNTIFS(Tracker!$B$4:$B$84,B21,Tracker!$K$4:$K$84,"Implementado")</f>
        <v>0</v>
      </c>
      <c r="G21" s="37">
        <f>COUNTIFS(Tracker!$B$4:$B$84,B21,Tracker!$K$4:$K$84,"Aprobado")</f>
        <v>0</v>
      </c>
      <c r="H21" s="37">
        <f>COUNTIFS(Tracker!$B$4:$B$84,B21,Tracker!$K$4:$K$84,"Bloqueado")</f>
        <v>0</v>
      </c>
    </row>
    <row r="22" ht="15.75" customHeight="1">
      <c r="B22" s="31" t="s">
        <v>156</v>
      </c>
      <c r="C22" s="37">
        <v>15.0</v>
      </c>
      <c r="D22" s="37">
        <f>COUNTIFS(Tracker!$B$4:$B$84,B22,Tracker!$K$4:$K$84,"No iniciado")</f>
        <v>15</v>
      </c>
      <c r="E22" s="37">
        <f>COUNTIFS(Tracker!$B$4:$B$84,B22,Tracker!$K$4:$K$84,"En diseño")+COUNTIFS(Tracker!$B$4:$B$84,B22,Tracker!$K$4:$K$84,"En construcción")+COUNTIFS(Tracker!$B$4:$B$84,B22,Tracker!$K$4:$K$84,"En pruebas")+COUNTIFS(Tracker!$B$4:$B$84,B22,Tracker!$K$4:$K$84,"En revisión Monific")</f>
        <v>0</v>
      </c>
      <c r="F22" s="37">
        <f>COUNTIFS(Tracker!$B$4:$B$84,B22,Tracker!$K$4:$K$84,"Implementado")</f>
        <v>0</v>
      </c>
      <c r="G22" s="37">
        <f t="shared" ref="G22:G25" si="2">COUNTIFS(Tracker!$B$4:$B$84,B22,Tracker!$K$4:$K$84,"Aprobado")</f>
        <v>0</v>
      </c>
      <c r="H22" s="37">
        <f t="shared" ref="H22:H25" si="3">COUNTIFS(Tracker!$B$4:$B$84,B22,Tracker!$K$4:$K$84,"Bloqueado")</f>
        <v>0</v>
      </c>
    </row>
    <row r="23" ht="15.75" customHeight="1">
      <c r="B23" s="31" t="s">
        <v>225</v>
      </c>
      <c r="C23" s="37">
        <v>7.0</v>
      </c>
      <c r="D23" s="37">
        <f>COUNTIFS(Tracker!$B$4:$B$84,B23,Tracker!$K$4:$K$84,"No iniciado")</f>
        <v>7</v>
      </c>
      <c r="E23" s="37">
        <f>COUNTIFS(Tracker!$B$4:$B$84,B23,Tracker!$K$4:$K$84,"En diseño")+COUNTIFS(Tracker!$B$4:$B$84,B23,Tracker!$K$4:$K$84,"En construcción")+COUNTIFS(Tracker!$B$4:$B$84,B23,Tracker!$K$4:$K$84,"En pruebas")+COUNTIFS(Tracker!$B$4:$B$84,B23,Tracker!$K$4:$K$84,"En revisión Monific")</f>
        <v>0</v>
      </c>
      <c r="F23" s="37">
        <f>COUNTIFS(Tracker!$B$4:$B$84,B23,Tracker!$K$4:$K$84,"Implementado")</f>
        <v>0</v>
      </c>
      <c r="G23" s="37">
        <f t="shared" si="2"/>
        <v>0</v>
      </c>
      <c r="H23" s="37">
        <f t="shared" si="3"/>
        <v>0</v>
      </c>
    </row>
    <row r="24" ht="15.75" customHeight="1">
      <c r="B24" s="31" t="s">
        <v>265</v>
      </c>
      <c r="C24" s="37">
        <v>33.0</v>
      </c>
      <c r="D24" s="37">
        <f>COUNTIFS(Tracker!$B$4:$B$84,B24,Tracker!$K$4:$K$84,"No iniciado")</f>
        <v>33</v>
      </c>
      <c r="E24" s="37">
        <f>COUNTIFS(Tracker!$B$4:$B$84,B24,Tracker!$K$4:$K$84,"En diseño")+COUNTIFS(Tracker!$B$4:$B$84,B24,Tracker!$K$4:$K$84,"En construcción")+COUNTIFS(Tracker!$B$4:$B$84,B24,Tracker!$K$4:$K$84,"En pruebas")+COUNTIFS(Tracker!$B$4:$B$84,B24,Tracker!$K$4:$K$84,"En revisión Monific")</f>
        <v>0</v>
      </c>
      <c r="F24" s="37">
        <f>COUNTIFS(Tracker!$B$4:$B$84,B24,Tracker!$K$4:$K$84,"Implementado")</f>
        <v>0</v>
      </c>
      <c r="G24" s="37">
        <f t="shared" si="2"/>
        <v>0</v>
      </c>
      <c r="H24" s="37">
        <f t="shared" si="3"/>
        <v>0</v>
      </c>
    </row>
    <row r="25" ht="15.75" customHeight="1">
      <c r="B25" s="31" t="s">
        <v>419</v>
      </c>
      <c r="C25" s="37">
        <v>4.0</v>
      </c>
      <c r="D25" s="37">
        <f>COUNTIFS(Tracker!$B$4:$B$84,B25,Tracker!$K$4:$K$84,"No iniciado")</f>
        <v>4</v>
      </c>
      <c r="E25" s="37">
        <f>COUNTIFS(Tracker!$B$4:$B$84,B25,Tracker!$K$4:$K$84,"En diseño")+COUNTIFS(Tracker!$B$4:$B$84,B25,Tracker!$K$4:$K$84,"En construcción")+COUNTIFS(Tracker!$B$4:$B$84,B25,Tracker!$K$4:$K$84,"En pruebas")+COUNTIFS(Tracker!$B$4:$B$84,B25,Tracker!$K$4:$K$84,"En revisión Monific")</f>
        <v>0</v>
      </c>
      <c r="F25" s="37">
        <f>COUNTIFS(Tracker!$B$4:$B$84,B25,Tracker!$K$4:$K$84,"Implementado")</f>
        <v>0</v>
      </c>
      <c r="G25" s="37">
        <f t="shared" si="2"/>
        <v>0</v>
      </c>
      <c r="H25" s="37">
        <f t="shared" si="3"/>
        <v>0</v>
      </c>
    </row>
    <row r="26" ht="15.75" customHeight="1">
      <c r="B26" s="38" t="s">
        <v>451</v>
      </c>
      <c r="C26" s="38">
        <f t="shared" ref="C26:H26" si="4">SUM(C21:C25)</f>
        <v>81</v>
      </c>
      <c r="D26" s="39">
        <f t="shared" si="4"/>
        <v>81</v>
      </c>
      <c r="E26" s="39">
        <f t="shared" si="4"/>
        <v>0</v>
      </c>
      <c r="F26" s="39">
        <f t="shared" si="4"/>
        <v>0</v>
      </c>
      <c r="G26" s="39">
        <f t="shared" si="4"/>
        <v>0</v>
      </c>
      <c r="H26" s="39">
        <f t="shared" si="4"/>
        <v>0</v>
      </c>
    </row>
    <row r="27" ht="15.75" customHeight="1"/>
    <row r="28" ht="15.75" customHeight="1">
      <c r="B28" s="27" t="s">
        <v>45</v>
      </c>
    </row>
    <row r="29" ht="15.75" customHeight="1">
      <c r="B29" s="29" t="s">
        <v>457</v>
      </c>
      <c r="C29" s="37">
        <f>COUNTIF(Tracker!$Q$4:$Q$84,B29)</f>
        <v>0</v>
      </c>
    </row>
    <row r="30" ht="15.75" customHeight="1">
      <c r="B30" s="29" t="s">
        <v>59</v>
      </c>
      <c r="C30" s="37">
        <f>COUNTIF(Tracker!$Q$4:$Q$84,B30)</f>
        <v>81</v>
      </c>
    </row>
    <row r="31" ht="15.75" customHeight="1">
      <c r="B31" s="29" t="s">
        <v>458</v>
      </c>
      <c r="C31" s="37">
        <f>COUNTIF(Tracker!$Q$4:$Q$84,B31)</f>
        <v>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16.0"/>
    <col customWidth="1" min="3" max="3" width="26.0"/>
    <col customWidth="1" min="4" max="26" width="8.71"/>
  </cols>
  <sheetData>
    <row r="1">
      <c r="A1" s="40" t="s">
        <v>39</v>
      </c>
      <c r="B1" s="40" t="s">
        <v>18</v>
      </c>
      <c r="C1" s="40" t="s">
        <v>45</v>
      </c>
    </row>
    <row r="2">
      <c r="A2" s="29" t="s">
        <v>58</v>
      </c>
      <c r="B2" s="29" t="s">
        <v>57</v>
      </c>
      <c r="C2" s="29" t="s">
        <v>59</v>
      </c>
    </row>
    <row r="3">
      <c r="A3" s="29" t="s">
        <v>444</v>
      </c>
      <c r="B3" s="29" t="s">
        <v>232</v>
      </c>
      <c r="C3" s="29" t="s">
        <v>457</v>
      </c>
    </row>
    <row r="4">
      <c r="A4" s="29" t="s">
        <v>445</v>
      </c>
      <c r="C4" s="29" t="s">
        <v>458</v>
      </c>
    </row>
    <row r="5">
      <c r="A5" s="29" t="s">
        <v>446</v>
      </c>
    </row>
    <row r="6">
      <c r="A6" s="29" t="s">
        <v>447</v>
      </c>
    </row>
    <row r="7">
      <c r="A7" s="29" t="s">
        <v>448</v>
      </c>
    </row>
    <row r="8">
      <c r="A8" s="29" t="s">
        <v>449</v>
      </c>
    </row>
    <row r="9">
      <c r="A9" s="29" t="s">
        <v>450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